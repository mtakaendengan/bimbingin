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4381098c3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98259927103420c"/>
    <x:sheet xmlns:r="http://schemas.openxmlformats.org/officeDocument/2006/relationships" name="README" sheetId="2" r:id="R15a6b7c9c5ee487b"/>
    <x:sheet xmlns:r="http://schemas.openxmlformats.org/officeDocument/2006/relationships" name="Settings" sheetId="3" r:id="Re0a1eadaae024333"/>
    <x:sheet xmlns:r="http://schemas.openxmlformats.org/officeDocument/2006/relationships" name="Users" sheetId="4" r:id="R5b0bf239a7064c3b"/>
    <x:sheet xmlns:r="http://schemas.openxmlformats.org/officeDocument/2006/relationships" name="Students" sheetId="5" r:id="R50ee02c2fb9a4981"/>
    <x:sheet xmlns:r="http://schemas.openxmlformats.org/officeDocument/2006/relationships" name="Lecturers" sheetId="6" r:id="R00fe179bde0e4f62"/>
    <x:sheet xmlns:r="http://schemas.openxmlformats.org/officeDocument/2006/relationships" name="LecturerStatus" sheetId="7" r:id="Rafe1f86772344c0e"/>
    <x:sheet xmlns:r="http://schemas.openxmlformats.org/officeDocument/2006/relationships" name="Files" sheetId="8" r:id="Rbc98d08a1bd54481"/>
    <x:sheet xmlns:r="http://schemas.openxmlformats.org/officeDocument/2006/relationships" name="Submissions" sheetId="9" r:id="R42f5c6f434374634"/>
    <x:sheet xmlns:r="http://schemas.openxmlformats.org/officeDocument/2006/relationships" name="Reviews" sheetId="10" r:id="Rdadb147ba8224a44"/>
    <x:sheet xmlns:r="http://schemas.openxmlformats.org/officeDocument/2006/relationships" name="Approvals" sheetId="11" r:id="R3497980a9120425d"/>
    <x:sheet xmlns:r="http://schemas.openxmlformats.org/officeDocument/2006/relationships" name="GuidanceRequests" sheetId="12" r:id="R8d9b981c1ab444a3"/>
    <x:sheet xmlns:r="http://schemas.openxmlformats.org/officeDocument/2006/relationships" name="ExamRequests" sheetId="13" r:id="Rd72b278b94e3441d"/>
    <x:sheet xmlns:r="http://schemas.openxmlformats.org/officeDocument/2006/relationships" name="Messages" sheetId="14" r:id="Rfa0286ae6f2a47fe"/>
    <x:sheet xmlns:r="http://schemas.openxmlformats.org/officeDocument/2006/relationships" name="Templates" sheetId="15" r:id="R87d5b893bebd4166"/>
    <x:sheet xmlns:r="http://schemas.openxmlformats.org/officeDocument/2006/relationships" name="SharedReferences" sheetId="16" r:id="R5e11764826dd494a"/>
    <x:sheet xmlns:r="http://schemas.openxmlformats.org/officeDocument/2006/relationships" name="CalendarEventsCache" sheetId="17" r:id="R520a885fe74a43c9"/>
    <x:sheet xmlns:r="http://schemas.openxmlformats.org/officeDocument/2006/relationships" name="ActivityLog" sheetId="18" r:id="Re565f73c537f4f9e"/>
    <x:sheet xmlns:r="http://schemas.openxmlformats.org/officeDocument/2006/relationships" name="Import_Mahasiswa_Lama" sheetId="19" r:id="Rc7e683f35ff741ce"/>
    <x:sheet xmlns:r="http://schemas.openxmlformats.org/officeDocument/2006/relationships" name="Reports" sheetId="20" r:id="Ra0821032d80b4ee2"/>
    <x:sheet xmlns:r="http://schemas.openxmlformats.org/officeDocument/2006/relationships" name="Lookups" sheetId="21" r:id="R6eed6ba5f1c340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2" fillId="3" borderId="0" xfId="0" applyNumberFormat="1" applyFont="1" applyFill="1" applyBorder="1"/>
    <x:xf numFmtId="200" fontId="0" fillId="4" borderId="0" xfId="0" applyNumberFormat="1" applyFont="1" applyFill="1" applyBorder="1"/>
    <x:xf numFmtId="200" fontId="2" fillId="3" borderId="1" xfId="0" applyNumberFormat="1" applyFont="1" applyFill="1" applyBorder="1"/>
    <x:xf numFmtId="200" fontId="0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419486b4964eef" /><Relationship Type="http://schemas.openxmlformats.org/officeDocument/2006/relationships/theme" Target="/xl/theme/theme1.xml" Id="Rc15d8f8b18754a67" /><Relationship Type="http://schemas.openxmlformats.org/officeDocument/2006/relationships/sharedStrings" Target="/xl/sharedStrings.xml" Id="R3c21e24ba652455f" /><Relationship Type="http://schemas.openxmlformats.org/officeDocument/2006/relationships/worksheet" Target="/xl/worksheets/sheet1.xml" Id="R498259927103420c" /><Relationship Type="http://schemas.openxmlformats.org/officeDocument/2006/relationships/worksheet" Target="/xl/worksheets/sheet2.xml" Id="R15a6b7c9c5ee487b" /><Relationship Type="http://schemas.openxmlformats.org/officeDocument/2006/relationships/worksheet" Target="/xl/worksheets/sheet3.xml" Id="Re0a1eadaae024333" /><Relationship Type="http://schemas.openxmlformats.org/officeDocument/2006/relationships/worksheet" Target="/xl/worksheets/sheet4.xml" Id="R5b0bf239a7064c3b" /><Relationship Type="http://schemas.openxmlformats.org/officeDocument/2006/relationships/worksheet" Target="/xl/worksheets/sheet5.xml" Id="R50ee02c2fb9a4981" /><Relationship Type="http://schemas.openxmlformats.org/officeDocument/2006/relationships/worksheet" Target="/xl/worksheets/sheet6.xml" Id="R00fe179bde0e4f62" /><Relationship Type="http://schemas.openxmlformats.org/officeDocument/2006/relationships/worksheet" Target="/xl/worksheets/sheet7.xml" Id="Rafe1f86772344c0e" /><Relationship Type="http://schemas.openxmlformats.org/officeDocument/2006/relationships/worksheet" Target="/xl/worksheets/sheet8.xml" Id="Rbc98d08a1bd54481" /><Relationship Type="http://schemas.openxmlformats.org/officeDocument/2006/relationships/worksheet" Target="/xl/worksheets/sheet9.xml" Id="R42f5c6f434374634" /><Relationship Type="http://schemas.openxmlformats.org/officeDocument/2006/relationships/worksheet" Target="/xl/worksheets/sheet10.xml" Id="Rdadb147ba8224a44" /><Relationship Type="http://schemas.openxmlformats.org/officeDocument/2006/relationships/worksheet" Target="/xl/worksheets/sheet11.xml" Id="R3497980a9120425d" /><Relationship Type="http://schemas.openxmlformats.org/officeDocument/2006/relationships/worksheet" Target="/xl/worksheets/sheet12.xml" Id="R8d9b981c1ab444a3" /><Relationship Type="http://schemas.openxmlformats.org/officeDocument/2006/relationships/worksheet" Target="/xl/worksheets/sheet13.xml" Id="Rd72b278b94e3441d" /><Relationship Type="http://schemas.openxmlformats.org/officeDocument/2006/relationships/worksheet" Target="/xl/worksheets/sheet14.xml" Id="Rfa0286ae6f2a47fe" /><Relationship Type="http://schemas.openxmlformats.org/officeDocument/2006/relationships/worksheet" Target="/xl/worksheets/sheet15.xml" Id="R87d5b893bebd4166" /><Relationship Type="http://schemas.openxmlformats.org/officeDocument/2006/relationships/worksheet" Target="/xl/worksheets/sheet16.xml" Id="R5e11764826dd494a" /><Relationship Type="http://schemas.openxmlformats.org/officeDocument/2006/relationships/worksheet" Target="/xl/worksheets/sheet17.xml" Id="R520a885fe74a43c9" /><Relationship Type="http://schemas.openxmlformats.org/officeDocument/2006/relationships/worksheet" Target="/xl/worksheets/sheet18.xml" Id="Re565f73c537f4f9e" /><Relationship Type="http://schemas.openxmlformats.org/officeDocument/2006/relationships/worksheet" Target="/xl/worksheets/sheet19.xml" Id="Rc7e683f35ff741ce" /><Relationship Type="http://schemas.openxmlformats.org/officeDocument/2006/relationships/worksheet" Target="/xl/worksheets/sheet20.xml" Id="Ra0821032d80b4ee2" /><Relationship Type="http://schemas.openxmlformats.org/officeDocument/2006/relationships/worksheet" Target="/xl/worksheets/sheet21.xml" Id="R6eed6ba5f1c340c3" /></Relationships>
</file>

<file path=xl/tables/table1.xml><?xml version="1.0" encoding="utf-8"?>
<x:table xmlns:x="http://schemas.openxmlformats.org/spreadsheetml/2006/main" id="1" name="SettingsTable" displayName="SettingsTable" ref="A1:C6" headerRowCount="1">
  <x:tableColumns count="3">
    <x:tableColumn id="1" name="key"/>
    <x:tableColumn id="2" name="value"/>
    <x:tableColumn id="3" name="updatedAt"/>
  </x:tableColumns>
  <x:tableStyleInfo name="TableStyleMedium2" showRowStripes="1"/>
</x:table>
</file>

<file path=xl/tables/table2.xml><?xml version="1.0" encoding="utf-8"?>
<x:table xmlns:x="http://schemas.openxmlformats.org/spreadsheetml/2006/main" id="2" name="UsersTable" displayName="UsersTable" ref="A1:L3" headerRowCount="1">
  <x:tableColumns count="12">
    <x:tableColumn id="1" name="userId"/>
    <x:tableColumn id="2" name="username"/>
    <x:tableColumn id="3" name="passwordHash"/>
    <x:tableColumn id="4" name="role"/>
    <x:tableColumn id="5" name="isAdmin"/>
    <x:tableColumn id="6" name="linkedId"/>
    <x:tableColumn id="7" name="name"/>
    <x:tableColumn id="8" name="email"/>
    <x:tableColumn id="9" name="status"/>
    <x:tableColumn id="10" name="mustChangePassword"/>
    <x:tableColumn id="11" name="createdAt"/>
    <x:tableColumn id="12" name="updatedAt"/>
  </x:tableColumns>
  <x:tableStyleInfo name="TableStyleMedium2" showRowStripes="1"/>
</x:table>
</file>

<file path=xl/tables/table3.xml><?xml version="1.0" encoding="utf-8"?>
<x:table xmlns:x="http://schemas.openxmlformats.org/spreadsheetml/2006/main" id="3" name="StudentsTable" displayName="StudentsTable" ref="A1:AA3" headerRowCount="1">
  <x:tableColumns count="27">
    <x:tableColumn id="1" name="studentId"/>
    <x:tableColumn id="2" name="userId"/>
    <x:tableColumn id="3" name="name"/>
    <x:tableColumn id="4" name="nim"/>
    <x:tableColumn id="5" name="email"/>
    <x:tableColumn id="6" name="whatsapp"/>
    <x:tableColumn id="7" name="program"/>
    <x:tableColumn id="8" name="cohort"/>
    <x:tableColumn id="9" name="currentStage"/>
    <x:tableColumn id="10" name="progress"/>
    <x:tableColumn id="11" name="reviewStatus"/>
    <x:tableColumn id="12" name="studentStatus"/>
    <x:tableColumn id="13" name="thesisTitle"/>
    <x:tableColumn id="14" name="researchTopic"/>
    <x:tableColumn id="15" name="lecturerId"/>
    <x:tableColumn id="16" name="folderName"/>
    <x:tableColumn id="17" name="folderRootId"/>
    <x:tableColumn id="18" name="folderRootUrl"/>
    <x:tableColumn id="19" name="folderProposalId"/>
    <x:tableColumn id="20" name="folderHasilId"/>
    <x:tableColumn id="21" name="folderSkripsiId"/>
    <x:tableColumn id="22" name="folderArtikelId"/>
    <x:tableColumn id="23" name="folderPendukungId"/>
    <x:tableColumn id="24" name="folderLainnyaId"/>
    <x:tableColumn id="25" name="createdAt"/>
    <x:tableColumn id="26" name="updatedAt"/>
    <x:tableColumn id="27" name="Column27"/>
  </x:tableColumns>
  <x:tableStyleInfo name="TableStyleMedium2" showRowStripes="1"/>
</x:table>
</file>

<file path=xl/tables/table4.xml><?xml version="1.0" encoding="utf-8"?>
<x:table xmlns:x="http://schemas.openxmlformats.org/spreadsheetml/2006/main" id="4" name="LecturersTable" displayName="LecturersTable" ref="A1:P2" headerRowCount="1">
  <x:tableColumns count="16">
    <x:tableColumn id="1" name="lecturerId"/>
    <x:tableColumn id="2" name="userId"/>
    <x:tableColumn id="3" name="name"/>
    <x:tableColumn id="4" name="nidn"/>
    <x:tableColumn id="5" name="email"/>
    <x:tableColumn id="6" name="whatsapp"/>
    <x:tableColumn id="7" name="program"/>
    <x:tableColumn id="8" name="department"/>
    <x:tableColumn id="9" name="expertise"/>
    <x:tableColumn id="10" name="guidanceTopics"/>
    <x:tableColumn id="11" name="officeRoom"/>
    <x:tableColumn id="12" name="consultationHours"/>
    <x:tableColumn id="13" name="onlineLink"/>
    <x:tableColumn id="14" name="note"/>
    <x:tableColumn id="15" name="createdAt"/>
    <x:tableColumn id="16" name="updatedAt"/>
  </x:tableColumns>
  <x:tableStyleInfo name="TableStyleMedium2" showRowStripes="1"/>
</x:table>
</file>

<file path=xl/tables/table5.xml><?xml version="1.0" encoding="utf-8"?>
<x:table xmlns:x="http://schemas.openxmlformats.org/spreadsheetml/2006/main" id="5" name="LecturerStatusTable" displayName="LecturerStatusTable" ref="A1:I2" headerRowCount="1">
  <x:tableColumns count="9">
    <x:tableColumn id="1" name="lecturerId"/>
    <x:tableColumn id="2" name="name"/>
    <x:tableColumn id="3" name="availabilityStatus"/>
    <x:tableColumn id="4" name="consultationHours"/>
    <x:tableColumn id="5" name="offlineLocation"/>
    <x:tableColumn id="6" name="onlineLink"/>
    <x:tableColumn id="7" name="note"/>
    <x:tableColumn id="8" name="validUntil"/>
    <x:tableColumn id="9" name="updatedAt"/>
  </x:tableColumns>
  <x:tableStyleInfo name="TableStyleMedium2" showRowStripes="1"/>
</x:table>
</file>

<file path=xl/tables/table6.xml><?xml version="1.0" encoding="utf-8"?>
<x:table xmlns:x="http://schemas.openxmlformats.org/spreadsheetml/2006/main" id="6" name="FilesTable" displayName="FilesTable" ref="A1:Z2" headerRowCount="1">
  <x:tableColumns count="26">
    <x:tableColumn id="1" name="fileId"/>
    <x:tableColumn id="2" name="studentId"/>
    <x:tableColumn id="3" name="folderType"/>
    <x:tableColumn id="4" name="driveFileId"/>
    <x:tableColumn id="5" name="fileName"/>
    <x:tableColumn id="6" name="fileUrl"/>
    <x:tableColumn id="7" name="mimeType"/>
    <x:tableColumn id="8" name="sizeBytes"/>
    <x:tableColumn id="9" name="status"/>
    <x:tableColumn id="10" name="locked"/>
    <x:tableColumn id="11" name="note"/>
    <x:tableColumn id="12" name="uploadedBy"/>
    <x:tableColumn id="13" name="uploadedAt"/>
    <x:tableColumn id="14" name="updatedAt"/>
    <x:tableColumn id="15" name="visibility"/>
    <x:tableColumn id="16" name="sharingStatus"/>
    <x:tableColumn id="17" name="sharedReferenceId"/>
    <x:tableColumn id="18" name="canBeShared"/>
    <x:tableColumn id="19" name="shareTitle"/>
    <x:tableColumn id="20" name="shareCategory"/>
    <x:tableColumn id="21" name="shareTopic"/>
    <x:tableColumn id="22" name="shareYear"/>
    <x:tableColumn id="23" name="shareDescription"/>
    <x:tableColumn id="24" name="ownerDisplayMode"/>
    <x:tableColumn id="25" name="approvedForSharingBy"/>
    <x:tableColumn id="26" name="approvedForSharingAt"/>
  </x:tableColumns>
  <x:tableStyleInfo name="TableStyleMedium2" showRowStripes="1"/>
</x:table>
</file>

<file path=xl/tables/table7.xml><?xml version="1.0" encoding="utf-8"?>
<x:table xmlns:x="http://schemas.openxmlformats.org/spreadsheetml/2006/main" id="7" name="SubmissionsTable" displayName="SubmissionsTable" ref="A1:Q2" headerRowCount="1">
  <x:tableColumns count="17">
    <x:tableColumn id="1" name="submissionId"/>
    <x:tableColumn id="2" name="studentId"/>
    <x:tableColumn id="3" name="folderType"/>
    <x:tableColumn id="4" name="fileId"/>
    <x:tableColumn id="5" name="driveFileId"/>
    <x:tableColumn id="6" name="fileName"/>
    <x:tableColumn id="7" name="fileUrl"/>
    <x:tableColumn id="8" name="version"/>
    <x:tableColumn id="9" name="status"/>
    <x:tableColumn id="10" name="studentNote"/>
    <x:tableColumn id="11" name="lecturerReview"/>
    <x:tableColumn id="12" name="reviewFileId"/>
    <x:tableColumn id="13" name="reviewFileUrl"/>
    <x:tableColumn id="14" name="reviewedBy"/>
    <x:tableColumn id="15" name="submittedAt"/>
    <x:tableColumn id="16" name="reviewedAt"/>
    <x:tableColumn id="17" name="updatedAt"/>
  </x:tableColumns>
  <x:tableStyleInfo name="TableStyleMedium2" showRowStripes="1"/>
</x:table>
</file>

<file path=xl/tables/table8.xml><?xml version="1.0" encoding="utf-8"?>
<x:table xmlns:x="http://schemas.openxmlformats.org/spreadsheetml/2006/main" id="8" name="ReviewsTable" displayName="ReviewsTable" ref="A1:L2" headerRowCount="1">
  <x:tableColumns count="12">
    <x:tableColumn id="1" name="reviewId"/>
    <x:tableColumn id="2" name="submissionId"/>
    <x:tableColumn id="3" name="studentId"/>
    <x:tableColumn id="4" name="lecturerId"/>
    <x:tableColumn id="5" name="reviewStatus"/>
    <x:tableColumn id="6" name="generalNote"/>
    <x:tableColumn id="7" name="detailNote"/>
    <x:tableColumn id="8" name="recommendation"/>
    <x:tableColumn id="9" name="reviewFileId"/>
    <x:tableColumn id="10" name="reviewFileUrl"/>
    <x:tableColumn id="11" name="createdAt"/>
    <x:tableColumn id="12" name="updatedAt"/>
  </x:tableColumns>
  <x:tableStyleInfo name="TableStyleMedium2" showRowStripes="1"/>
</x:table>
</file>

<file path=xl/tables/table9.xml><?xml version="1.0" encoding="utf-8"?>
<x:table xmlns:x="http://schemas.openxmlformats.org/spreadsheetml/2006/main" id="9" name="ApprovalsTable" displayName="ApprovalsTable" ref="A1:I2" headerRowCount="1">
  <x:tableColumns count="9">
    <x:tableColumn id="1" name="approvalId"/>
    <x:tableColumn id="2" name="studentId"/>
    <x:tableColumn id="3" name="submissionId"/>
    <x:tableColumn id="4" name="fileId"/>
    <x:tableColumn id="5" name="approvalType"/>
    <x:tableColumn id="6" name="status"/>
    <x:tableColumn id="7" name="note"/>
    <x:tableColumn id="8" name="approvedBy"/>
    <x:tableColumn id="9" name="approvedAt"/>
  </x:tableColumns>
  <x:tableStyleInfo name="TableStyleMedium2" showRowStripes="1"/>
</x:table>
</file>

<file path=xl/tables/table10.xml><?xml version="1.0" encoding="utf-8"?>
<x:table xmlns:x="http://schemas.openxmlformats.org/spreadsheetml/2006/main" id="10" name="GuidanceRequestsTable" displayName="GuidanceRequestsTable" ref="A1:M2" headerRowCount="1">
  <x:tableColumns count="13">
    <x:tableColumn id="1" name="requestId"/>
    <x:tableColumn id="2" name="studentId"/>
    <x:tableColumn id="3" name="lecturerId"/>
    <x:tableColumn id="4" name="mode"/>
    <x:tableColumn id="5" name="topic"/>
    <x:tableColumn id="6" name="preferredStart"/>
    <x:tableColumn id="7" name="preferredEnd"/>
    <x:tableColumn id="8" name="relatedFileId"/>
    <x:tableColumn id="9" name="status"/>
    <x:tableColumn id="10" name="calendarEventId"/>
    <x:tableColumn id="11" name="lecturerNote"/>
    <x:tableColumn id="12" name="createdAt"/>
    <x:tableColumn id="13" name="updatedAt"/>
  </x:tableColumns>
  <x:tableStyleInfo name="TableStyleMedium2" showRowStripes="1"/>
</x:table>
</file>

<file path=xl/tables/table11.xml><?xml version="1.0" encoding="utf-8"?>
<x:table xmlns:x="http://schemas.openxmlformats.org/spreadsheetml/2006/main" id="11" name="ExamRequestsTable" displayName="ExamRequestsTable" ref="A1:L2" headerRowCount="1">
  <x:tableColumns count="12">
    <x:tableColumn id="1" name="examRequestId"/>
    <x:tableColumn id="2" name="studentId"/>
    <x:tableColumn id="3" name="lecturerId"/>
    <x:tableColumn id="4" name="examType"/>
    <x:tableColumn id="5" name="preferredDateTime"/>
    <x:tableColumn id="6" name="finalSubmissionId"/>
    <x:tableColumn id="7" name="checklistStatus"/>
    <x:tableColumn id="8" name="status"/>
    <x:tableColumn id="9" name="lecturerNote"/>
    <x:tableColumn id="10" name="calendarEventId"/>
    <x:tableColumn id="11" name="createdAt"/>
    <x:tableColumn id="12" name="updatedAt"/>
  </x:tableColumns>
  <x:tableStyleInfo name="TableStyleMedium2" showRowStripes="1"/>
</x:table>
</file>

<file path=xl/tables/table12.xml><?xml version="1.0" encoding="utf-8"?>
<x:table xmlns:x="http://schemas.openxmlformats.org/spreadsheetml/2006/main" id="12" name="MessagesTable" displayName="MessagesTable" ref="A1:I2" headerRowCount="1">
  <x:tableColumns count="9">
    <x:tableColumn id="1" name="messageId"/>
    <x:tableColumn id="2" name="senderId"/>
    <x:tableColumn id="3" name="receiverId"/>
    <x:tableColumn id="4" name="studentId"/>
    <x:tableColumn id="5" name="subject"/>
    <x:tableColumn id="6" name="message"/>
    <x:tableColumn id="7" name="status"/>
    <x:tableColumn id="8" name="createdAt"/>
    <x:tableColumn id="9" name="updatedAt"/>
  </x:tableColumns>
  <x:tableStyleInfo name="TableStyleMedium2" showRowStripes="1"/>
</x:table>
</file>

<file path=xl/tables/table13.xml><?xml version="1.0" encoding="utf-8"?>
<x:table xmlns:x="http://schemas.openxmlformats.org/spreadsheetml/2006/main" id="13" name="TemplatesTable" displayName="TemplatesTable" ref="A1:L3" headerRowCount="1">
  <x:tableColumns count="12">
    <x:tableColumn id="1" name="templateId"/>
    <x:tableColumn id="2" name="category"/>
    <x:tableColumn id="3" name="title"/>
    <x:tableColumn id="4" name="description"/>
    <x:tableColumn id="5" name="driveFileId"/>
    <x:tableColumn id="6" name="fileName"/>
    <x:tableColumn id="7" name="fileUrl"/>
    <x:tableColumn id="8" name="version"/>
    <x:tableColumn id="9" name="status"/>
    <x:tableColumn id="10" name="uploadedBy"/>
    <x:tableColumn id="11" name="uploadedAt"/>
    <x:tableColumn id="12" name="updatedAt"/>
  </x:tableColumns>
  <x:tableStyleInfo name="TableStyleMedium2" showRowStripes="1"/>
</x:table>
</file>

<file path=xl/tables/table14.xml><?xml version="1.0" encoding="utf-8"?>
<x:table xmlns:x="http://schemas.openxmlformats.org/spreadsheetml/2006/main" id="14" name="SharedReferencesTable" displayName="SharedReferencesTable" ref="A1:S2" headerRowCount="1">
  <x:tableColumns count="19">
    <x:tableColumn id="1" name="sharedId"/>
    <x:tableColumn id="2" name="originalFileId"/>
    <x:tableColumn id="3" name="sharedFileId"/>
    <x:tableColumn id="4" name="studentId"/>
    <x:tableColumn id="5" name="ownerDisplayMode"/>
    <x:tableColumn id="6" name="ownerDisplayName"/>
    <x:tableColumn id="7" name="title"/>
    <x:tableColumn id="8" name="category"/>
    <x:tableColumn id="9" name="topic"/>
    <x:tableColumn id="10" name="year"/>
    <x:tableColumn id="11" name="description"/>
    <x:tableColumn id="12" name="fileType"/>
    <x:tableColumn id="13" name="fileUrl"/>
    <x:tableColumn id="14" name="visibility"/>
    <x:tableColumn id="15" name="status"/>
    <x:tableColumn id="16" name="approvedBy"/>
    <x:tableColumn id="17" name="approvedAt"/>
    <x:tableColumn id="18" name="createdAt"/>
    <x:tableColumn id="19" name="updatedAt"/>
  </x:tableColumns>
  <x:tableStyleInfo name="TableStyleMedium2" showRowStripes="1"/>
</x:table>
</file>

<file path=xl/tables/table15.xml><?xml version="1.0" encoding="utf-8"?>
<x:table xmlns:x="http://schemas.openxmlformats.org/spreadsheetml/2006/main" id="15" name="CalendarEventsCacheTable" displayName="CalendarEventsCacheTable" ref="A1:J2" headerRowCount="1">
  <x:tableColumns count="10">
    <x:tableColumn id="1" name="eventId"/>
    <x:tableColumn id="2" name="eventType"/>
    <x:tableColumn id="3" name="studentId"/>
    <x:tableColumn id="4" name="title"/>
    <x:tableColumn id="5" name="startTime"/>
    <x:tableColumn id="6" name="endTime"/>
    <x:tableColumn id="7" name="mode"/>
    <x:tableColumn id="8" name="location"/>
    <x:tableColumn id="9" name="status"/>
    <x:tableColumn id="10" name="updatedAt"/>
  </x:tableColumns>
  <x:tableStyleInfo name="TableStyleMedium2" showRowStripes="1"/>
</x:table>
</file>

<file path=xl/tables/table16.xml><?xml version="1.0" encoding="utf-8"?>
<x:table xmlns:x="http://schemas.openxmlformats.org/spreadsheetml/2006/main" id="16" name="ActivityLogTable" displayName="ActivityLogTable" ref="A1:H2" headerRowCount="1">
  <x:tableColumns count="8">
    <x:tableColumn id="1" name="logId"/>
    <x:tableColumn id="2" name="actorId"/>
    <x:tableColumn id="3" name="role"/>
    <x:tableColumn id="4" name="action"/>
    <x:tableColumn id="5" name="targetType"/>
    <x:tableColumn id="6" name="targetId"/>
    <x:tableColumn id="7" name="description"/>
    <x:tableColumn id="8" name="createdAt"/>
  </x:tableColumns>
  <x:tableStyleInfo name="TableStyleMedium2" showRowStripes="1"/>
</x:table>
</file>

<file path=xl/tables/table17.xml><?xml version="1.0" encoding="utf-8"?>
<x:table xmlns:x="http://schemas.openxmlformats.org/spreadsheetml/2006/main" id="17" name="ImportMahasiswaLamaTable" displayName="ImportMahasiswaLamaTable" ref="A1:O2" headerRowCount="1">
  <x:tableColumns count="15">
    <x:tableColumn id="1" name="importStatus"/>
    <x:tableColumn id="2" name="name"/>
    <x:tableColumn id="3" name="nim"/>
    <x:tableColumn id="4" name="email"/>
    <x:tableColumn id="5" name="whatsapp"/>
    <x:tableColumn id="6" name="program"/>
    <x:tableColumn id="7" name="cohort"/>
    <x:tableColumn id="8" name="currentStage"/>
    <x:tableColumn id="9" name="studentStatus"/>
    <x:tableColumn id="10" name="reviewStatus"/>
    <x:tableColumn id="11" name="thesisTitle"/>
    <x:tableColumn id="12" name="researchTopic"/>
    <x:tableColumn id="13" name="existingFolderUrl"/>
    <x:tableColumn id="14" name="existingFolderId"/>
    <x:tableColumn id="15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ReportsTable" displayName="ReportsTable" ref="A1:B5" headerRowCount="1">
  <x:tableColumns count="2">
    <x:tableColumn id="1" name="Laporan"/>
    <x:tableColumn id="2" name="Formula/Ringkas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77aad9a48e24e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026bf5883934d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39bedf2279441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96c1cdcf12141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eeb60bc202941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da6164bccca40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cb45e9d19c549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7f21fc289e640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079f15c8aa436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52bb57cf92742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727c9705fb674d7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437f691fe5204d8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21dfd12a30b2474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67cf4283b7f841c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6ec6488ab280496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e046f6abe58744c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184973998e8e4fd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af2a62ae1dac491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</x:cols>
  <x:sheetData>
    <x:row r="1">
      <x:c r="A1" s="4" t="str">
        <x:v>BimbingIn - Dashboard Database</x:v>
      </x:c>
      <x:c r="B1" s="4" t="str"/>
      <x:c r="C1" s="4" t="str"/>
      <x:c r="D1" s="4" t="str"/>
      <x:c r="E1" s="4" t="str"/>
      <x:c r="F1" s="4" t="str"/>
    </x:row>
    <x:row r="2">
      <x:c r="A2" s="14" t="str">
        <x:v>KPI</x:v>
      </x:c>
      <x:c r="B2" s="9" t="str">
        <x:v>Nilai</x:v>
      </x:c>
      <x:c r="C2" s="9" t="str">
        <x:v>Keterangan</x:v>
      </x:c>
      <x:c r="D2" s="9" t="str"/>
      <x:c r="E2" s="9" t="str">
        <x:v>Panduan Cepat</x:v>
      </x:c>
      <x:c r="F2" s="9" t="str"/>
    </x:row>
    <x:row r="3">
      <x:c r="A3" s="15" t="str">
        <x:v>Mahasiswa Aktif</x:v>
      </x:c>
      <x:c r="B3" s="12" t="n">
        <x:f>COUNTIF(Students!L:L,"*Aktif*")</x:f>
        <x:v>0</x:v>
      </x:c>
      <x:c r="C3" s="12" t="str">
        <x:v>Jumlah mahasiswa aktif bimbingan</x:v>
      </x:c>
      <x:c r="D3" t="str"/>
      <x:c r="E3" t="str">
        <x:v>1</x:v>
      </x:c>
      <x:c r="F3" t="str">
        <x:v>Upload file ini ke Google Drive lalu buka dengan Google Sheets.</x:v>
      </x:c>
    </x:row>
    <x:row r="4">
      <x:c r="A4" s="15" t="str">
        <x:v>Menunggu Review</x:v>
      </x:c>
      <x:c r="B4" s="12" t="n">
        <x:f>COUNTIF(Submissions!I:I,"*Menunggu*")</x:f>
        <x:v>0</x:v>
      </x:c>
      <x:c r="C4" s="12" t="str">
        <x:v>Submit yang belum direview dosen</x:v>
      </x:c>
      <x:c r="D4" t="str"/>
      <x:c r="E4" t="str">
        <x:v>2</x:v>
      </x:c>
      <x:c r="F4" t="str">
        <x:v>Isi CONFIG Apps Script dengan Spreadsheet ID dari URL Google Sheets.</x:v>
      </x:c>
    </x:row>
    <x:row r="5">
      <x:c r="A5" s="15" t="str">
        <x:v>Template Aktif</x:v>
      </x:c>
      <x:c r="B5" s="12" t="n">
        <x:f>COUNTIF(Templates!I:I,"Aktif")</x:f>
        <x:v>2</x:v>
      </x:c>
      <x:c r="C5" s="12" t="str">
        <x:v>Template publik yang tampil di halaman awal</x:v>
      </x:c>
      <x:c r="D5" t="str"/>
      <x:c r="E5" t="str">
        <x:v>3</x:v>
      </x:c>
      <x:c r="F5" t="str">
        <x:v>Jalankan setupBimbingIn() pada Apps Script.</x:v>
      </x:c>
    </x:row>
    <x:row r="6">
      <x:c r="A6" s="15" t="str">
        <x:v>Shared References</x:v>
      </x:c>
      <x:c r="B6" s="12" t="n">
        <x:f>COUNTIF(SharedReferences!O:O,"Shared")</x:f>
        <x:v>1</x:v>
      </x:c>
      <x:c r="C6" s="12" t="str">
        <x:v>Referensi yang tampil di Ruang Sharing</x:v>
      </x:c>
      <x:c r="D6" t="str"/>
      <x:c r="E6" t="str">
        <x:v>4</x:v>
      </x:c>
      <x:c r="F6" t="str">
        <x:v>Deploy Apps Script sebagai Web App dan salin URL ke assets/js/config.js.</x:v>
      </x:c>
    </x:row>
    <x:row r="7">
      <x:c r="A7" s="15" t="str">
        <x:v>Mahasiswa Baru</x:v>
      </x:c>
      <x:c r="B7" s="12" t="n">
        <x:f>COUNTIF(Students!L:L,"*Menunggu*")</x:f>
        <x:v>0</x:v>
      </x:c>
      <x:c r="C7" s="12" t="str">
        <x:v>Pendaftar yang perlu diverifikasi</x:v>
      </x:c>
      <x:c r="D7" t="str"/>
      <x:c r="E7" t="str">
        <x:v>5</x:v>
      </x:c>
      <x:c r="F7" t="str">
        <x:v>Upload isi folder BimbingIn ke GitHub Pages.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</x:cols>
  <x:sheetData>
    <x:row r="1">
      <x:c r="A1" s="19" t="str">
        <x:v>Bagian</x:v>
      </x:c>
      <x:c r="B1" s="19" t="str">
        <x:v>Keterangan</x:v>
      </x:c>
    </x:row>
    <x:row r="2">
      <x:c r="A2" s="22" t="str">
        <x:v>Tujuan</x:v>
      </x:c>
      <x:c r="B2" s="22" t="str">
        <x:v>Template database Google Sheets untuk BimbingIn.</x:v>
      </x:c>
    </x:row>
    <x:row r="3">
      <x:c r="A3" s="22" t="str">
        <x:v>Role</x:v>
      </x:c>
      <x:c r="B3" s="22" t="str">
        <x:v>mahasiswa dan dosen. Dosen memiliki akses admin.</x:v>
      </x:c>
    </x:row>
    <x:row r="4">
      <x:c r="A4" s="22" t="str">
        <x:v>Catatan keamanan</x:v>
      </x:c>
      <x:c r="B4" s="22" t="str">
        <x:v>File mahasiswa bersifat private. Ruang Sharing hanya menampilkan salinan file yang disetujui dosen.</x:v>
      </x:c>
    </x:row>
    <x:row r="5">
      <x:c r="A5" s="22" t="str">
        <x:v>Profil</x:v>
      </x:c>
      <x:c r="B5" s="22" t="str">
        <x:v>Frontend memakai alias saveProfile(). Jika login mahasiswa diarahkan ke saveStudentProfile(); jika login dosen diarahkan ke saveLecturerProfile().</x:v>
      </x:c>
    </x:row>
    <x:row r="6">
      <x:c r="A6" s="22" t="str">
        <x:v>Import lama</x:v>
      </x:c>
      <x:c r="B6" s="22" t="str">
        <x:v>Gunakan sheet Import_Mahasiswa_Lama untuk migrasi mahasiswa yang sudah sementara bimbingan.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</x:cols>
  <x:sheetData>
    <x:row r="1">
      <x:c r="A1" s="19" t="str">
        <x:v>key</x:v>
      </x:c>
      <x:c r="B1" s="19" t="str">
        <x:v>value</x:v>
      </x:c>
      <x:c r="C1" s="19" t="str">
        <x:v>updatedAt</x:v>
      </x:c>
    </x:row>
    <x:row r="2">
      <x:c r="A2" s="22" t="str">
        <x:v>appName</x:v>
      </x:c>
      <x:c r="B2" s="22" t="str">
        <x:v>BimbingIn</x:v>
      </x:c>
      <x:c r="C2" s="24" t="n">
        <x:v>46206.3767984375</x:v>
      </x:c>
    </x:row>
    <x:row r="3">
      <x:c r="A3" s="22" t="str">
        <x:v>timezone</x:v>
      </x:c>
      <x:c r="B3" s="22" t="str">
        <x:v>Asia/Makassar</x:v>
      </x:c>
      <x:c r="C3" s="24" t="n">
        <x:v>46206.3767984375</x:v>
      </x:c>
    </x:row>
    <x:row r="4">
      <x:c r="A4" s="22" t="str">
        <x:v>mahasiswaRootId</x:v>
      </x:c>
      <x:c r="B4" s="22" t="str"/>
      <x:c r="C4" s="24" t="n">
        <x:v>46206.3767984375</x:v>
      </x:c>
    </x:row>
    <x:row r="5">
      <x:c r="A5" s="22" t="str">
        <x:v>templateRootId</x:v>
      </x:c>
      <x:c r="B5" s="22" t="str"/>
      <x:c r="C5" s="24" t="n">
        <x:v>46206.3767984375</x:v>
      </x:c>
    </x:row>
    <x:row r="6">
      <x:c r="A6" s="22" t="str">
        <x:v>sharingRootId</x:v>
      </x:c>
      <x:c r="B6" s="22" t="str"/>
      <x:c r="C6" s="24" t="n">
        <x:v>46206.3767984375</x:v>
      </x:c>
    </x:row>
  </x:sheetData>
  <x:pageMargins left="0.7" right="0.7" top="0.75" bottom="0.75" header="0.3" footer="0.3"/>
  <x:tableParts count="1">
    <x:tablePart xmlns:r="http://schemas.openxmlformats.org/officeDocument/2006/relationships" r:id="R577aad9a48e24e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</x:cols>
  <x:sheetData>
    <x:row r="1">
      <x:c r="A1" s="19" t="str">
        <x:v>userId</x:v>
      </x:c>
      <x:c r="B1" s="19" t="str">
        <x:v>username</x:v>
      </x:c>
      <x:c r="C1" s="19" t="str">
        <x:v>passwordHash</x:v>
      </x:c>
      <x:c r="D1" s="19" t="str">
        <x:v>role</x:v>
      </x:c>
      <x:c r="E1" s="19" t="str">
        <x:v>isAdmin</x:v>
      </x:c>
      <x:c r="F1" s="19" t="str">
        <x:v>linkedId</x:v>
      </x:c>
      <x:c r="G1" s="19" t="str">
        <x:v>name</x:v>
      </x:c>
      <x:c r="H1" s="19" t="str">
        <x:v>email</x:v>
      </x:c>
      <x:c r="I1" s="19" t="str">
        <x:v>status</x:v>
      </x:c>
      <x:c r="J1" s="19" t="str">
        <x:v>mustChangePassword</x:v>
      </x:c>
      <x:c r="K1" s="19" t="str">
        <x:v>createdAt</x:v>
      </x:c>
      <x:c r="L1" s="19" t="str">
        <x:v>updatedAt</x:v>
      </x:c>
    </x:row>
    <x:row r="2">
      <x:c r="A2" s="22" t="str">
        <x:v>U-DEMO-DOSEN</x:v>
      </x:c>
      <x:c r="B2" s="22" t="str">
        <x:v>dosen</x:v>
      </x:c>
      <x:c r="C2" s="22" t="str">
        <x:v>dosen123-demo-only</x:v>
      </x:c>
      <x:c r="D2" s="22" t="str">
        <x:v>dosen</x:v>
      </x:c>
      <x:c r="E2" s="22" t="str">
        <x:v>TRUE</x:v>
      </x:c>
      <x:c r="F2" s="22" t="str">
        <x:v>L-DEMO</x:v>
      </x:c>
      <x:c r="G2" s="22" t="str">
        <x:v>Dr. Mahardika Inra Takaendengan</x:v>
      </x:c>
      <x:c r="H2" s="22" t="str">
        <x:v>mahardika@unsrat.ac.id</x:v>
      </x:c>
      <x:c r="I2" s="24" t="str">
        <x:v>aktif</x:v>
      </x:c>
      <x:c r="J2" s="22" t="str">
        <x:v>FALSE</x:v>
      </x:c>
      <x:c r="K2" s="24" t="n">
        <x:v>46206.3767984375</x:v>
      </x:c>
      <x:c r="L2" s="24" t="n">
        <x:v>46206.3767984375</x:v>
      </x:c>
    </x:row>
    <x:row r="3">
      <x:c r="A3" s="22" t="str">
        <x:v>U-DEMO-MHS</x:v>
      </x:c>
      <x:c r="B3" s="22" t="str">
        <x:v>202201001</x:v>
      </x:c>
      <x:c r="C3" s="22" t="str">
        <x:v>mhs123-demo-only</x:v>
      </x:c>
      <x:c r="D3" s="22" t="str">
        <x:v>mahasiswa</x:v>
      </x:c>
      <x:c r="E3" s="22" t="str">
        <x:v>FALSE</x:v>
      </x:c>
      <x:c r="F3" s="22" t="str">
        <x:v>S-DEMO-001</x:v>
      </x:c>
      <x:c r="G3" s="22" t="str">
        <x:v>Andi Setiawan</x:v>
      </x:c>
      <x:c r="H3" s="22" t="str">
        <x:v>andi@example.com</x:v>
      </x:c>
      <x:c r="I3" s="24" t="str">
        <x:v>aktif</x:v>
      </x:c>
      <x:c r="J3" s="22" t="str">
        <x:v>TRUE</x:v>
      </x:c>
      <x:c r="K3" s="24" t="n">
        <x:v>46206.3767984375</x:v>
      </x:c>
      <x:c r="L3" s="24" t="n">
        <x:v>46206.3767984375</x:v>
      </x:c>
    </x:row>
  </x:sheetData>
  <x:pageMargins left="0.7" right="0.7" top="0.75" bottom="0.75" header="0.3" footer="0.3"/>
  <x:tableParts count="1">
    <x:tablePart xmlns:r="http://schemas.openxmlformats.org/officeDocument/2006/relationships" r:id="Ra026bf5883934d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24" hidden="0" customWidth="1"/>
    <x:col min="14" max="14" width="24" hidden="0" customWidth="1"/>
    <x:col min="15" max="15" width="16" hidden="0" customWidth="1"/>
    <x:col min="16" max="16" width="16" hidden="0" customWidth="1"/>
    <x:col min="17" max="17" width="16" hidden="0" customWidth="1"/>
    <x:col min="18" max="18" width="24" hidden="0" customWidth="1"/>
    <x:col min="19" max="19" width="24" hidden="0" customWidth="1"/>
    <x:col min="20" max="20" width="16" hidden="0" customWidth="1"/>
    <x:col min="21" max="21" width="16" hidden="0" customWidth="1"/>
    <x:col min="22" max="22" width="16" hidden="0" customWidth="1"/>
    <x:col min="23" max="23" width="24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>
      <x:c r="A1" s="19" t="str">
        <x:v>studentId</x:v>
      </x:c>
      <x:c r="B1" s="19" t="str">
        <x:v>userId</x:v>
      </x:c>
      <x:c r="C1" s="19" t="str">
        <x:v>name</x:v>
      </x:c>
      <x:c r="D1" s="19" t="str">
        <x:v>nim</x:v>
      </x:c>
      <x:c r="E1" s="19" t="str">
        <x:v>email</x:v>
      </x:c>
      <x:c r="F1" s="19" t="str">
        <x:v>whatsapp</x:v>
      </x:c>
      <x:c r="G1" s="19" t="str">
        <x:v>program</x:v>
      </x:c>
      <x:c r="H1" s="19" t="str">
        <x:v>cohort</x:v>
      </x:c>
      <x:c r="I1" s="19" t="str">
        <x:v>currentStage</x:v>
      </x:c>
      <x:c r="J1" s="19" t="str">
        <x:v>progress</x:v>
      </x:c>
      <x:c r="K1" s="19" t="str">
        <x:v>reviewStatus</x:v>
      </x:c>
      <x:c r="L1" s="19" t="str">
        <x:v>studentStatus</x:v>
      </x:c>
      <x:c r="M1" s="19" t="str">
        <x:v>thesisTitle</x:v>
      </x:c>
      <x:c r="N1" s="19" t="str">
        <x:v>researchTopic</x:v>
      </x:c>
      <x:c r="O1" s="19" t="str">
        <x:v>lecturerId</x:v>
      </x:c>
      <x:c r="P1" s="19" t="str">
        <x:v>folderName</x:v>
      </x:c>
      <x:c r="Q1" s="19" t="str">
        <x:v>folderRootId</x:v>
      </x:c>
      <x:c r="R1" s="19" t="str">
        <x:v>folderRootUrl</x:v>
      </x:c>
      <x:c r="S1" s="19" t="str">
        <x:v>folderProposalId</x:v>
      </x:c>
      <x:c r="T1" s="19" t="str">
        <x:v>folderHasilId</x:v>
      </x:c>
      <x:c r="U1" s="19" t="str">
        <x:v>folderSkripsiId</x:v>
      </x:c>
      <x:c r="V1" s="19" t="str">
        <x:v>folderArtikelId</x:v>
      </x:c>
      <x:c r="W1" s="19" t="str">
        <x:v>folderPendukungId</x:v>
      </x:c>
      <x:c r="X1" s="19" t="str">
        <x:v>folderLainnyaId</x:v>
      </x:c>
      <x:c r="Y1" s="19" t="str">
        <x:v>createdAt</x:v>
      </x:c>
      <x:c r="Z1" s="19" t="str">
        <x:v>updatedAt</x:v>
      </x:c>
      <x:c r="AA1" s="19" t="str"/>
    </x:row>
    <x:row r="2">
      <x:c r="A2" s="22" t="str">
        <x:v>S-DEMO-001</x:v>
      </x:c>
      <x:c r="B2" s="22" t="str">
        <x:v>U-DEMO-MHS</x:v>
      </x:c>
      <x:c r="C2" s="22" t="str">
        <x:v>Andi Setiawan</x:v>
      </x:c>
      <x:c r="D2" s="22" t="str">
        <x:v>202201001</x:v>
      </x:c>
      <x:c r="E2" s="22" t="str">
        <x:v>andi@example.com</x:v>
      </x:c>
      <x:c r="F2" s="24" t="str">
        <x:v>081234567890</x:v>
      </x:c>
      <x:c r="G2" s="22" t="str">
        <x:v>S1 Sistem Informasi</x:v>
      </x:c>
      <x:c r="H2" s="22" t="str">
        <x:v>2022</x:v>
      </x:c>
      <x:c r="I2" s="22" t="str">
        <x:v>Proposal</x:v>
      </x:c>
      <x:c r="J2" s="22" t="n">
        <x:v>35</x:v>
      </x:c>
      <x:c r="K2" s="24" t="str">
        <x:v>Menunggu Review</x:v>
      </x:c>
      <x:c r="L2" s="24" t="str">
        <x:v>Aktif Bimbingan</x:v>
      </x:c>
      <x:c r="M2" s="22" t="str">
        <x:v>Sistem Informasi Monitoring Skripsi</x:v>
      </x:c>
      <x:c r="N2" s="22" t="str">
        <x:v>Sistem Informasi</x:v>
      </x:c>
      <x:c r="O2" s="22" t="str">
        <x:v>L-DEMO</x:v>
      </x:c>
      <x:c r="P2" s="22" t="str">
        <x:v>202201001_ANDI_SETIAWAN</x:v>
      </x:c>
      <x:c r="Q2" s="22" t="str"/>
      <x:c r="R2" s="22" t="str"/>
      <x:c r="S2" s="22" t="str"/>
      <x:c r="T2" s="22" t="str"/>
      <x:c r="U2" s="22" t="str"/>
      <x:c r="V2" s="22" t="str"/>
      <x:c r="W2" s="22" t="str"/>
      <x:c r="X2" s="22" t="str"/>
      <x:c r="Y2" s="24" t="str"/>
      <x:c r="Z2" s="24" t="n">
        <x:v>46206.3767984375</x:v>
      </x:c>
      <x:c r="AA2" s="22" t="n">
        <x:v>46206.3767984375</x:v>
      </x:c>
    </x:row>
    <x:row r="3">
      <x:c r="A3" s="22" t="str">
        <x:v>S-DEMO-002</x:v>
      </x:c>
      <x:c r="B3" s="22" t="str"/>
      <x:c r="C3" s="22" t="str">
        <x:v>Maria Lestari</x:v>
      </x:c>
      <x:c r="D3" s="22" t="str">
        <x:v>202201002</x:v>
      </x:c>
      <x:c r="E3" s="22" t="str">
        <x:v>maria@example.com</x:v>
      </x:c>
      <x:c r="F3" s="24" t="str">
        <x:v>081234567891</x:v>
      </x:c>
      <x:c r="G3" s="22" t="str">
        <x:v>S1 Sistem Informasi</x:v>
      </x:c>
      <x:c r="H3" s="22" t="str">
        <x:v>2022</x:v>
      </x:c>
      <x:c r="I3" s="22" t="str">
        <x:v>Seminar Hasil</x:v>
      </x:c>
      <x:c r="J3" s="22" t="n">
        <x:v>70</x:v>
      </x:c>
      <x:c r="K3" s="24" t="str">
        <x:v>Revisi Minor</x:v>
      </x:c>
      <x:c r="L3" s="24" t="str">
        <x:v>Aktif Bimbingan</x:v>
      </x:c>
      <x:c r="M3" s="22" t="str">
        <x:v>Dashboard Tracer Study</x:v>
      </x:c>
      <x:c r="N3" s="22" t="str">
        <x:v>Data Analytics</x:v>
      </x:c>
      <x:c r="O3" s="22" t="str">
        <x:v>L-DEMO</x:v>
      </x:c>
      <x:c r="P3" s="22" t="str">
        <x:v>202201002_MARIA_LESTARI</x:v>
      </x:c>
      <x:c r="Q3" s="22" t="str"/>
      <x:c r="R3" s="22" t="str"/>
      <x:c r="S3" s="22" t="str"/>
      <x:c r="T3" s="22" t="str"/>
      <x:c r="U3" s="22" t="str"/>
      <x:c r="V3" s="22" t="str"/>
      <x:c r="W3" s="22" t="str"/>
      <x:c r="X3" s="22" t="str"/>
      <x:c r="Y3" s="24" t="str"/>
      <x:c r="Z3" s="24" t="n">
        <x:v>46206.3767984375</x:v>
      </x:c>
      <x:c r="AA3" s="22" t="n">
        <x:v>46206.3767984375</x:v>
      </x:c>
    </x:row>
  </x:sheetData>
  <x:conditionalFormatting sqref="J2:J200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{35D15E67-1579-BDEB-F521-970B0C757895}</x14:id>
        </x:ext>
      </x:extLst>
    </x:cfRule>
  </x:conditionalFormatting>
  <x:dataValidations count="3">
    <x:dataValidation type="list" sqref="I2:I500">
      <x:formula1>"Proposal,Seminar Hasil,Skripsi,Artikel Ilmiah,Finalisasi,Lulus"</x:formula1>
    </x:dataValidation>
    <x:dataValidation type="list" sqref="K2:K500">
      <x:formula1>"Belum Upload,Menunggu Review,Revisi Minor,Revisi Mayor,Disetujui,Final"</x:formula1>
    </x:dataValidation>
    <x:dataValidation type="list" sqref="L2:L500">
      <x:formula1>"Menunggu Verifikasi,Aktif Bimbingan,Siap Sidang,Lulus,Tidak 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9bedf22794417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5D15E67-1579-BDEB-F521-970B0C757895}">
            <x14:dataBar gradient="1">
              <x14:cfvo type="min"/>
              <x14:cfvo type="max"/>
              <x14:fillColor rgb="FF2563EB"/>
            </x14:dataBar>
          </x14:cfRule>
          <xm:sqref>J2:J200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24" hidden="0" customWidth="1"/>
    <x:col min="14" max="14" width="24" hidden="0" customWidth="1"/>
    <x:col min="15" max="15" width="16" hidden="0" customWidth="1"/>
    <x:col min="16" max="16" width="16" hidden="0" customWidth="1"/>
  </x:cols>
  <x:sheetData>
    <x:row r="1">
      <x:c r="A1" s="19" t="str">
        <x:v>lecturerId</x:v>
      </x:c>
      <x:c r="B1" s="19" t="str">
        <x:v>userId</x:v>
      </x:c>
      <x:c r="C1" s="19" t="str">
        <x:v>name</x:v>
      </x:c>
      <x:c r="D1" s="19" t="str">
        <x:v>nidn</x:v>
      </x:c>
      <x:c r="E1" s="19" t="str">
        <x:v>email</x:v>
      </x:c>
      <x:c r="F1" s="19" t="str">
        <x:v>whatsapp</x:v>
      </x:c>
      <x:c r="G1" s="19" t="str">
        <x:v>program</x:v>
      </x:c>
      <x:c r="H1" s="19" t="str">
        <x:v>department</x:v>
      </x:c>
      <x:c r="I1" s="19" t="str">
        <x:v>expertise</x:v>
      </x:c>
      <x:c r="J1" s="19" t="str">
        <x:v>guidanceTopics</x:v>
      </x:c>
      <x:c r="K1" s="19" t="str">
        <x:v>officeRoom</x:v>
      </x:c>
      <x:c r="L1" s="19" t="str">
        <x:v>consultationHours</x:v>
      </x:c>
      <x:c r="M1" s="19" t="str">
        <x:v>onlineLink</x:v>
      </x:c>
      <x:c r="N1" s="19" t="str">
        <x:v>note</x:v>
      </x:c>
      <x:c r="O1" s="19" t="str">
        <x:v>createdAt</x:v>
      </x:c>
      <x:c r="P1" s="19" t="str">
        <x:v>updatedAt</x:v>
      </x:c>
    </x:row>
    <x:row r="2">
      <x:c r="A2" s="22" t="str">
        <x:v>L-DEMO</x:v>
      </x:c>
      <x:c r="B2" s="22" t="str">
        <x:v>U-DEMO-DOSEN</x:v>
      </x:c>
      <x:c r="C2" s="22" t="str">
        <x:v>Dr. Mahardika Inra Takaendengan</x:v>
      </x:c>
      <x:c r="D2" s="22" t="str"/>
      <x:c r="E2" s="22" t="str">
        <x:v>mahardika@unsrat.ac.id</x:v>
      </x:c>
      <x:c r="F2" s="24" t="str">
        <x:v>081244000000</x:v>
      </x:c>
      <x:c r="G2" s="22" t="str">
        <x:v>S1 Sistem Informasi</x:v>
      </x:c>
      <x:c r="H2" s="22" t="str">
        <x:v>FMIPA/Program Studi</x:v>
      </x:c>
      <x:c r="I2" s="22" t="str">
        <x:v>Sistem Informasi, RPL, Data</x:v>
      </x:c>
      <x:c r="J2" s="22" t="str">
        <x:v>Aplikasi web, data analytics, sistem informasi</x:v>
      </x:c>
      <x:c r="K2" s="22" t="str">
        <x:v>Ruang Dosen</x:v>
      </x:c>
      <x:c r="L2" s="24" t="str">
        <x:v>Senin-Jumat 10.00-14.00</x:v>
      </x:c>
      <x:c r="M2" s="22" t="str"/>
      <x:c r="N2" s="22" t="str">
        <x:v>Silakan ajukan jadwal melalui BimbingIn.</x:v>
      </x:c>
      <x:c r="O2" s="24" t="n">
        <x:v>46206.3767984375</x:v>
      </x:c>
      <x:c r="P2" s="24" t="n">
        <x:v>46206.3767984375</x:v>
      </x:c>
    </x:row>
  </x:sheetData>
  <x:pageMargins left="0.7" right="0.7" top="0.75" bottom="0.75" header="0.3" footer="0.3"/>
  <x:tableParts count="1">
    <x:tablePart xmlns:r="http://schemas.openxmlformats.org/officeDocument/2006/relationships" r:id="R496c1cdcf121411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</x:cols>
  <x:sheetData>
    <x:row r="1">
      <x:c r="A1" s="19" t="str">
        <x:v>lecturerId</x:v>
      </x:c>
      <x:c r="B1" s="19" t="str">
        <x:v>name</x:v>
      </x:c>
      <x:c r="C1" s="19" t="str">
        <x:v>availabilityStatus</x:v>
      </x:c>
      <x:c r="D1" s="19" t="str">
        <x:v>consultationHours</x:v>
      </x:c>
      <x:c r="E1" s="19" t="str">
        <x:v>offlineLocation</x:v>
      </x:c>
      <x:c r="F1" s="19" t="str">
        <x:v>onlineLink</x:v>
      </x:c>
      <x:c r="G1" s="19" t="str">
        <x:v>note</x:v>
      </x:c>
      <x:c r="H1" s="19" t="str">
        <x:v>validUntil</x:v>
      </x:c>
      <x:c r="I1" s="19" t="str">
        <x:v>updatedAt</x:v>
      </x:c>
    </x:row>
    <x:row r="2">
      <x:c r="A2" s="22" t="str">
        <x:v>L-DEMO</x:v>
      </x:c>
      <x:c r="B2" s="22" t="str">
        <x:v>Dr. Mahardika Inra Takaendengan</x:v>
      </x:c>
      <x:c r="C2" s="24" t="str">
        <x:v>Available Online &amp; Offline</x:v>
      </x:c>
      <x:c r="D2" s="24" t="str">
        <x:v>Senin-Jumat 10.00-14.00</x:v>
      </x:c>
      <x:c r="E2" s="24" t="str">
        <x:v>Ruang Dosen</x:v>
      </x:c>
      <x:c r="F2" s="22" t="str"/>
      <x:c r="G2" s="22" t="str">
        <x:v>Prioritas mahasiswa yang sudah upload file review.</x:v>
      </x:c>
      <x:c r="H2" s="22" t="str"/>
      <x:c r="I2" s="24" t="n">
        <x:v>46206.3767984375</x:v>
      </x:c>
    </x:row>
  </x:sheetData>
  <x:pageMargins left="0.7" right="0.7" top="0.75" bottom="0.75" header="0.3" footer="0.3"/>
  <x:tableParts count="1">
    <x:tablePart xmlns:r="http://schemas.openxmlformats.org/officeDocument/2006/relationships" r:id="Reeeb60bc2029415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24" hidden="0" customWidth="1"/>
    <x:col min="14" max="14" width="24" hidden="0" customWidth="1"/>
    <x:col min="15" max="15" width="16" hidden="0" customWidth="1"/>
    <x:col min="16" max="16" width="16" hidden="0" customWidth="1"/>
    <x:col min="17" max="17" width="16" hidden="0" customWidth="1"/>
    <x:col min="18" max="18" width="24" hidden="0" customWidth="1"/>
    <x:col min="19" max="19" width="24" hidden="0" customWidth="1"/>
    <x:col min="20" max="20" width="16" hidden="0" customWidth="1"/>
    <x:col min="21" max="21" width="16" hidden="0" customWidth="1"/>
    <x:col min="22" max="22" width="16" hidden="0" customWidth="1"/>
    <x:col min="23" max="23" width="24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19" t="str">
        <x:v>fileId</x:v>
      </x:c>
      <x:c r="B1" s="19" t="str">
        <x:v>studentId</x:v>
      </x:c>
      <x:c r="C1" s="19" t="str">
        <x:v>folderType</x:v>
      </x:c>
      <x:c r="D1" s="19" t="str">
        <x:v>driveFileId</x:v>
      </x:c>
      <x:c r="E1" s="19" t="str">
        <x:v>fileName</x:v>
      </x:c>
      <x:c r="F1" s="19" t="str">
        <x:v>fileUrl</x:v>
      </x:c>
      <x:c r="G1" s="19" t="str">
        <x:v>mimeType</x:v>
      </x:c>
      <x:c r="H1" s="19" t="str">
        <x:v>sizeBytes</x:v>
      </x:c>
      <x:c r="I1" s="19" t="str">
        <x:v>status</x:v>
      </x:c>
      <x:c r="J1" s="19" t="str">
        <x:v>locked</x:v>
      </x:c>
      <x:c r="K1" s="19" t="str">
        <x:v>note</x:v>
      </x:c>
      <x:c r="L1" s="19" t="str">
        <x:v>uploadedBy</x:v>
      </x:c>
      <x:c r="M1" s="19" t="str">
        <x:v>uploadedAt</x:v>
      </x:c>
      <x:c r="N1" s="19" t="str">
        <x:v>updatedAt</x:v>
      </x:c>
      <x:c r="O1" s="19" t="str">
        <x:v>visibility</x:v>
      </x:c>
      <x:c r="P1" s="19" t="str">
        <x:v>sharingStatus</x:v>
      </x:c>
      <x:c r="Q1" s="19" t="str">
        <x:v>sharedReferenceId</x:v>
      </x:c>
      <x:c r="R1" s="19" t="str">
        <x:v>canBeShared</x:v>
      </x:c>
      <x:c r="S1" s="19" t="str">
        <x:v>shareTitle</x:v>
      </x:c>
      <x:c r="T1" s="19" t="str">
        <x:v>shareCategory</x:v>
      </x:c>
      <x:c r="U1" s="19" t="str">
        <x:v>shareTopic</x:v>
      </x:c>
      <x:c r="V1" s="19" t="str">
        <x:v>shareYear</x:v>
      </x:c>
      <x:c r="W1" s="19" t="str">
        <x:v>shareDescription</x:v>
      </x:c>
      <x:c r="X1" s="19" t="str">
        <x:v>ownerDisplayMode</x:v>
      </x:c>
      <x:c r="Y1" s="19" t="str">
        <x:v>approvedForSharingBy</x:v>
      </x:c>
      <x:c r="Z1" s="19" t="str">
        <x:v>approvedForSharingAt</x:v>
      </x:c>
    </x:row>
    <x:row r="2">
      <x:c r="A2" s="22" t="str">
        <x:v>F-DEMO-001</x:v>
      </x:c>
      <x:c r="B2" s="22" t="str">
        <x:v>S-DEMO-001</x:v>
      </x:c>
      <x:c r="C2" s="22" t="str">
        <x:v>Proposal</x:v>
      </x:c>
      <x:c r="D2" s="22" t="str"/>
      <x:c r="E2" s="22" t="str">
        <x:v>Proposal_202201001_260703-120000.docx</x:v>
      </x:c>
      <x:c r="F2" s="22" t="str">
        <x:v>#</x:v>
      </x:c>
      <x:c r="G2" s="22" t="str">
        <x:v>application/vnd.openxmlformats-officedocument.wordprocessingml.document</x:v>
      </x:c>
      <x:c r="H2" s="22" t="n">
        <x:v>250000</x:v>
      </x:c>
      <x:c r="I2" s="24" t="str">
        <x:v>Diajukan Review</x:v>
      </x:c>
      <x:c r="J2" s="22" t="str">
        <x:v>FALSE</x:v>
      </x:c>
      <x:c r="K2" s="22" t="str">
        <x:v>Upload contoh</x:v>
      </x:c>
      <x:c r="L2" s="22" t="str">
        <x:v>U-DEMO-MHS</x:v>
      </x:c>
      <x:c r="M2" s="24" t="n">
        <x:v>46206.3767984375</x:v>
      </x:c>
      <x:c r="N2" s="24" t="n">
        <x:v>46206.3767984375</x:v>
      </x:c>
      <x:c r="O2" s="22" t="str">
        <x:v>Private</x:v>
      </x:c>
      <x:c r="P2" s="24" t="str">
        <x:v>Pending</x:v>
      </x:c>
      <x:c r="Q2" s="22" t="str"/>
      <x:c r="R2" s="22" t="str">
        <x:v>Yes</x:v>
      </x:c>
      <x:c r="S2" s="22" t="str">
        <x:v>Contoh Proposal Sistem Informasi Berbasis Web</x:v>
      </x:c>
      <x:c r="T2" s="24" t="str">
        <x:v>Proposal</x:v>
      </x:c>
      <x:c r="U2" s="22" t="str">
        <x:v>Sistem Informasi</x:v>
      </x:c>
      <x:c r="V2" s="22" t="str">
        <x:v>2026</x:v>
      </x:c>
      <x:c r="W2" s="22" t="str">
        <x:v>Contoh proposal yang sudah sesuai struktur.</x:v>
      </x:c>
      <x:c r="X2" s="22" t="str">
        <x:v>Anonymous</x:v>
      </x:c>
      <x:c r="Y2" s="22" t="str"/>
      <x:c r="Z2" s="24" t="str"/>
    </x:row>
  </x:sheetData>
  <x:conditionalFormatting sqref="P2:P200">
    <x:cfRule type="expression" dxfId="2" priority="1">
      <x:formula>P2="Pending"</x:formula>
    </x:cfRule>
  </x:conditionalFormatting>
  <x:dataValidations count="2">
    <x:dataValidation type="list" sqref="C2:C500">
      <x:formula1>"Proposal,Seminar Hasil,Skripsi,Artikel Ilmiah,Data Pendukung,Data Lainnya"</x:formula1>
    </x:dataValidation>
    <x:dataValidation type="list" sqref="P2:P500">
      <x:formula1>"NotRequested,Pending,Approved,Rejected,Archived"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a6164bccca400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24" hidden="0" customWidth="1"/>
    <x:col min="14" max="14" width="24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19" t="str">
        <x:v>submissionId</x:v>
      </x:c>
      <x:c r="B1" s="19" t="str">
        <x:v>studentId</x:v>
      </x:c>
      <x:c r="C1" s="19" t="str">
        <x:v>folderType</x:v>
      </x:c>
      <x:c r="D1" s="19" t="str">
        <x:v>fileId</x:v>
      </x:c>
      <x:c r="E1" s="19" t="str">
        <x:v>driveFileId</x:v>
      </x:c>
      <x:c r="F1" s="19" t="str">
        <x:v>fileName</x:v>
      </x:c>
      <x:c r="G1" s="19" t="str">
        <x:v>fileUrl</x:v>
      </x:c>
      <x:c r="H1" s="19" t="str">
        <x:v>version</x:v>
      </x:c>
      <x:c r="I1" s="19" t="str">
        <x:v>status</x:v>
      </x:c>
      <x:c r="J1" s="19" t="str">
        <x:v>studentNote</x:v>
      </x:c>
      <x:c r="K1" s="19" t="str">
        <x:v>lecturerReview</x:v>
      </x:c>
      <x:c r="L1" s="19" t="str">
        <x:v>reviewFileId</x:v>
      </x:c>
      <x:c r="M1" s="19" t="str">
        <x:v>reviewFileUrl</x:v>
      </x:c>
      <x:c r="N1" s="19" t="str">
        <x:v>reviewedBy</x:v>
      </x:c>
      <x:c r="O1" s="19" t="str">
        <x:v>submittedAt</x:v>
      </x:c>
      <x:c r="P1" s="19" t="str">
        <x:v>reviewedAt</x:v>
      </x:c>
      <x:c r="Q1" s="19" t="str">
        <x:v>updatedAt</x:v>
      </x:c>
    </x:row>
    <x:row r="2">
      <x:c r="A2" s="22" t="str">
        <x:v>SUB-DEMO-001</x:v>
      </x:c>
      <x:c r="B2" s="22" t="str">
        <x:v>S-DEMO-001</x:v>
      </x:c>
      <x:c r="C2" s="22" t="str">
        <x:v>Proposal</x:v>
      </x:c>
      <x:c r="D2" s="22" t="str">
        <x:v>F-DEMO-001</x:v>
      </x:c>
      <x:c r="E2" s="22" t="str"/>
      <x:c r="F2" s="22" t="str">
        <x:v>Proposal_202201001_260703-120000.docx</x:v>
      </x:c>
      <x:c r="G2" s="22" t="str">
        <x:v>#</x:v>
      </x:c>
      <x:c r="H2" s="22" t="str">
        <x:v>1</x:v>
      </x:c>
      <x:c r="I2" s="24" t="str">
        <x:v>Menunggu Review</x:v>
      </x:c>
      <x:c r="J2" s="22" t="str">
        <x:v>BAB 1 sudah diperbaiki.</x:v>
      </x:c>
      <x:c r="K2" s="22" t="str"/>
      <x:c r="L2" s="22" t="str"/>
      <x:c r="M2" s="22" t="str"/>
      <x:c r="N2" s="22" t="str"/>
      <x:c r="O2" s="24" t="n">
        <x:v>46206.3767984375</x:v>
      </x:c>
      <x:c r="P2" s="24" t="str"/>
      <x:c r="Q2" s="24" t="n">
        <x:v>46206.3767984375</x:v>
      </x:c>
    </x:row>
  </x:sheetData>
  <x:conditionalFormatting sqref="I2:I200">
    <x:cfRule type="expression" dxfId="0" priority="1">
      <x:formula>ISNUMBER(SEARCH("Menunggu",I2))</x:formula>
    </x:cfRule>
    <x:cfRule type="expression" dxfId="1" priority="2">
      <x:formula>ISNUMBER(SEARCH("Disetujui",I2))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b45e9d19c5490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</x:cols>
  <x:sheetData>
    <x:row r="1">
      <x:c r="A1" s="19" t="str">
        <x:v>reviewId</x:v>
      </x:c>
      <x:c r="B1" s="19" t="str">
        <x:v>submissionId</x:v>
      </x:c>
      <x:c r="C1" s="19" t="str">
        <x:v>studentId</x:v>
      </x:c>
      <x:c r="D1" s="19" t="str">
        <x:v>lecturerId</x:v>
      </x:c>
      <x:c r="E1" s="19" t="str">
        <x:v>reviewStatus</x:v>
      </x:c>
      <x:c r="F1" s="19" t="str">
        <x:v>generalNote</x:v>
      </x:c>
      <x:c r="G1" s="19" t="str">
        <x:v>detailNote</x:v>
      </x:c>
      <x:c r="H1" s="19" t="str">
        <x:v>recommendation</x:v>
      </x:c>
      <x:c r="I1" s="19" t="str">
        <x:v>reviewFileId</x:v>
      </x:c>
      <x:c r="J1" s="19" t="str">
        <x:v>reviewFileUrl</x:v>
      </x:c>
      <x:c r="K1" s="19" t="str">
        <x:v>createdAt</x:v>
      </x:c>
      <x:c r="L1" s="19" t="str">
        <x:v>updatedAt</x:v>
      </x:c>
    </x:row>
    <x:row r="2">
      <x:c r="E2" s="26"/>
      <x:c r="H2" s="26"/>
      <x:c r="K2" s="26"/>
      <x:c r="L2" s="26"/>
    </x:row>
  </x:sheetData>
  <x:pageMargins left="0.7" right="0.7" top="0.75" bottom="0.75" header="0.3" footer="0.3"/>
  <x:tableParts count="1">
    <x:tablePart xmlns:r="http://schemas.openxmlformats.org/officeDocument/2006/relationships" r:id="R97f21fc289e640d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</x:cols>
  <x:sheetData>
    <x:row r="1">
      <x:c r="A1" s="19" t="str">
        <x:v>approvalId</x:v>
      </x:c>
      <x:c r="B1" s="19" t="str">
        <x:v>studentId</x:v>
      </x:c>
      <x:c r="C1" s="19" t="str">
        <x:v>submissionId</x:v>
      </x:c>
      <x:c r="D1" s="19" t="str">
        <x:v>fileId</x:v>
      </x:c>
      <x:c r="E1" s="19" t="str">
        <x:v>approvalType</x:v>
      </x:c>
      <x:c r="F1" s="19" t="str">
        <x:v>status</x:v>
      </x:c>
      <x:c r="G1" s="19" t="str">
        <x:v>note</x:v>
      </x:c>
      <x:c r="H1" s="19" t="str">
        <x:v>approvedBy</x:v>
      </x:c>
      <x:c r="I1" s="19" t="str">
        <x:v>approvedAt</x:v>
      </x:c>
    </x:row>
    <x:row r="2">
      <x:c r="F2" s="26"/>
      <x:c r="I2" s="26"/>
    </x:row>
  </x:sheetData>
  <x:pageMargins left="0.7" right="0.7" top="0.75" bottom="0.75" header="0.3" footer="0.3"/>
  <x:tableParts count="1">
    <x:tablePart xmlns:r="http://schemas.openxmlformats.org/officeDocument/2006/relationships" r:id="R87079f15c8aa436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24" hidden="0" customWidth="1"/>
  </x:cols>
  <x:sheetData>
    <x:row r="1">
      <x:c r="A1" s="19" t="str">
        <x:v>requestId</x:v>
      </x:c>
      <x:c r="B1" s="19" t="str">
        <x:v>studentId</x:v>
      </x:c>
      <x:c r="C1" s="19" t="str">
        <x:v>lecturerId</x:v>
      </x:c>
      <x:c r="D1" s="19" t="str">
        <x:v>mode</x:v>
      </x:c>
      <x:c r="E1" s="19" t="str">
        <x:v>topic</x:v>
      </x:c>
      <x:c r="F1" s="19" t="str">
        <x:v>preferredStart</x:v>
      </x:c>
      <x:c r="G1" s="19" t="str">
        <x:v>preferredEnd</x:v>
      </x:c>
      <x:c r="H1" s="19" t="str">
        <x:v>relatedFileId</x:v>
      </x:c>
      <x:c r="I1" s="19" t="str">
        <x:v>status</x:v>
      </x:c>
      <x:c r="J1" s="19" t="str">
        <x:v>calendarEventId</x:v>
      </x:c>
      <x:c r="K1" s="19" t="str">
        <x:v>lecturerNote</x:v>
      </x:c>
      <x:c r="L1" s="19" t="str">
        <x:v>createdAt</x:v>
      </x:c>
      <x:c r="M1" s="19" t="str">
        <x:v>updatedAt</x:v>
      </x:c>
    </x:row>
    <x:row r="2">
      <x:c r="H2" s="26"/>
      <x:c r="I2" s="26"/>
      <x:c r="L2" s="26"/>
      <x:c r="M2" s="26"/>
    </x:row>
  </x:sheetData>
  <x:pageMargins left="0.7" right="0.7" top="0.75" bottom="0.75" header="0.3" footer="0.3"/>
  <x:tableParts count="1">
    <x:tablePart xmlns:r="http://schemas.openxmlformats.org/officeDocument/2006/relationships" r:id="R752bb57cf92742b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</x:cols>
  <x:sheetData>
    <x:row r="1">
      <x:c r="A1" s="19" t="str">
        <x:v>examRequestId</x:v>
      </x:c>
      <x:c r="B1" s="19" t="str">
        <x:v>studentId</x:v>
      </x:c>
      <x:c r="C1" s="19" t="str">
        <x:v>lecturerId</x:v>
      </x:c>
      <x:c r="D1" s="19" t="str">
        <x:v>examType</x:v>
      </x:c>
      <x:c r="E1" s="19" t="str">
        <x:v>preferredDateTime</x:v>
      </x:c>
      <x:c r="F1" s="19" t="str">
        <x:v>finalSubmissionId</x:v>
      </x:c>
      <x:c r="G1" s="19" t="str">
        <x:v>checklistStatus</x:v>
      </x:c>
      <x:c r="H1" s="19" t="str">
        <x:v>status</x:v>
      </x:c>
      <x:c r="I1" s="19" t="str">
        <x:v>lecturerNote</x:v>
      </x:c>
      <x:c r="J1" s="19" t="str">
        <x:v>calendarEventId</x:v>
      </x:c>
      <x:c r="K1" s="19" t="str">
        <x:v>createdAt</x:v>
      </x:c>
      <x:c r="L1" s="19" t="str">
        <x:v>updatedAt</x:v>
      </x:c>
    </x:row>
    <x:row r="2">
      <x:c r="E2" s="26"/>
      <x:c r="G2" s="26"/>
      <x:c r="H2" s="26"/>
      <x:c r="K2" s="26"/>
      <x:c r="L2" s="26"/>
    </x:row>
  </x:sheetData>
  <x:pageMargins left="0.7" right="0.7" top="0.75" bottom="0.75" header="0.3" footer="0.3"/>
  <x:tableParts count="1">
    <x:tablePart xmlns:r="http://schemas.openxmlformats.org/officeDocument/2006/relationships" r:id="R727c9705fb674d7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</x:cols>
  <x:sheetData>
    <x:row r="1">
      <x:c r="A1" s="19" t="str">
        <x:v>messageId</x:v>
      </x:c>
      <x:c r="B1" s="19" t="str">
        <x:v>senderId</x:v>
      </x:c>
      <x:c r="C1" s="19" t="str">
        <x:v>receiverId</x:v>
      </x:c>
      <x:c r="D1" s="19" t="str">
        <x:v>studentId</x:v>
      </x:c>
      <x:c r="E1" s="19" t="str">
        <x:v>subject</x:v>
      </x:c>
      <x:c r="F1" s="19" t="str">
        <x:v>message</x:v>
      </x:c>
      <x:c r="G1" s="19" t="str">
        <x:v>status</x:v>
      </x:c>
      <x:c r="H1" s="19" t="str">
        <x:v>createdAt</x:v>
      </x:c>
      <x:c r="I1" s="19" t="str">
        <x:v>updatedAt</x:v>
      </x:c>
    </x:row>
    <x:row r="2">
      <x:c r="G2" s="26"/>
      <x:c r="H2" s="26"/>
      <x:c r="I2" s="26"/>
    </x:row>
  </x:sheetData>
  <x:pageMargins left="0.7" right="0.7" top="0.75" bottom="0.75" header="0.3" footer="0.3"/>
  <x:tableParts count="1">
    <x:tablePart xmlns:r="http://schemas.openxmlformats.org/officeDocument/2006/relationships" r:id="R437f691fe5204d8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</x:cols>
  <x:sheetData>
    <x:row r="1">
      <x:c r="A1" s="19" t="str">
        <x:v>templateId</x:v>
      </x:c>
      <x:c r="B1" s="19" t="str">
        <x:v>category</x:v>
      </x:c>
      <x:c r="C1" s="19" t="str">
        <x:v>title</x:v>
      </x:c>
      <x:c r="D1" s="19" t="str">
        <x:v>description</x:v>
      </x:c>
      <x:c r="E1" s="19" t="str">
        <x:v>driveFileId</x:v>
      </x:c>
      <x:c r="F1" s="19" t="str">
        <x:v>fileName</x:v>
      </x:c>
      <x:c r="G1" s="19" t="str">
        <x:v>fileUrl</x:v>
      </x:c>
      <x:c r="H1" s="19" t="str">
        <x:v>version</x:v>
      </x:c>
      <x:c r="I1" s="19" t="str">
        <x:v>status</x:v>
      </x:c>
      <x:c r="J1" s="19" t="str">
        <x:v>uploadedBy</x:v>
      </x:c>
      <x:c r="K1" s="19" t="str">
        <x:v>uploadedAt</x:v>
      </x:c>
      <x:c r="L1" s="19" t="str">
        <x:v>updatedAt</x:v>
      </x:c>
    </x:row>
    <x:row r="2">
      <x:c r="A2" s="24" t="str">
        <x:v>T-DEMO-001</x:v>
      </x:c>
      <x:c r="B2" s="24" t="str">
        <x:v>Proposal</x:v>
      </x:c>
      <x:c r="C2" s="22" t="str">
        <x:v>Template Proposal Skripsi 2026</x:v>
      </x:c>
      <x:c r="D2" s="22" t="str">
        <x:v>Format proposal resmi</x:v>
      </x:c>
      <x:c r="E2" s="22" t="str"/>
      <x:c r="F2" s="22" t="str">
        <x:v>Template_Proposal_2026.docx</x:v>
      </x:c>
      <x:c r="G2" s="22" t="str">
        <x:v>#</x:v>
      </x:c>
      <x:c r="H2" s="22" t="str">
        <x:v>v1.0</x:v>
      </x:c>
      <x:c r="I2" s="24" t="str">
        <x:v>Aktif</x:v>
      </x:c>
      <x:c r="J2" s="22" t="str">
        <x:v>U-DEMO-DOSEN</x:v>
      </x:c>
      <x:c r="K2" s="24" t="n">
        <x:v>46206.3767984375</x:v>
      </x:c>
      <x:c r="L2" s="24" t="n">
        <x:v>46206.3767984375</x:v>
      </x:c>
    </x:row>
    <x:row r="3">
      <x:c r="A3" s="24" t="str">
        <x:v>T-DEMO-002</x:v>
      </x:c>
      <x:c r="B3" s="24" t="str">
        <x:v>Skripsi</x:v>
      </x:c>
      <x:c r="C3" s="22" t="str">
        <x:v>Template Skripsi Final</x:v>
      </x:c>
      <x:c r="D3" s="22" t="str">
        <x:v>Format naskah akhir</x:v>
      </x:c>
      <x:c r="E3" s="22" t="str"/>
      <x:c r="F3" s="22" t="str">
        <x:v>Template_Skripsi_2026.docx</x:v>
      </x:c>
      <x:c r="G3" s="22" t="str">
        <x:v>#</x:v>
      </x:c>
      <x:c r="H3" s="22" t="str">
        <x:v>v1.0</x:v>
      </x:c>
      <x:c r="I3" s="24" t="str">
        <x:v>Aktif</x:v>
      </x:c>
      <x:c r="J3" s="22" t="str">
        <x:v>U-DEMO-DOSEN</x:v>
      </x:c>
      <x:c r="K3" s="24" t="n">
        <x:v>46206.3767984375</x:v>
      </x:c>
      <x:c r="L3" s="24" t="n">
        <x:v>46206.3767984375</x:v>
      </x:c>
    </x:row>
  </x:sheetData>
  <x:dataValidations count="1">
    <x:dataValidation type="list" sqref="I2:I500">
      <x:formula1>"Aktif,Draft,Diarsipkan,Diganti"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dfd12a30b2474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24" hidden="0" customWidth="1"/>
    <x:col min="14" max="14" width="24" hidden="0" customWidth="1"/>
    <x:col min="15" max="15" width="16" hidden="0" customWidth="1"/>
    <x:col min="16" max="16" width="16" hidden="0" customWidth="1"/>
    <x:col min="17" max="17" width="16" hidden="0" customWidth="1"/>
    <x:col min="18" max="18" width="24" hidden="0" customWidth="1"/>
    <x:col min="19" max="19" width="24" hidden="0" customWidth="1"/>
  </x:cols>
  <x:sheetData>
    <x:row r="1">
      <x:c r="A1" s="19" t="str">
        <x:v>sharedId</x:v>
      </x:c>
      <x:c r="B1" s="19" t="str">
        <x:v>originalFileId</x:v>
      </x:c>
      <x:c r="C1" s="19" t="str">
        <x:v>sharedFileId</x:v>
      </x:c>
      <x:c r="D1" s="19" t="str">
        <x:v>studentId</x:v>
      </x:c>
      <x:c r="E1" s="19" t="str">
        <x:v>ownerDisplayMode</x:v>
      </x:c>
      <x:c r="F1" s="19" t="str">
        <x:v>ownerDisplayName</x:v>
      </x:c>
      <x:c r="G1" s="19" t="str">
        <x:v>title</x:v>
      </x:c>
      <x:c r="H1" s="19" t="str">
        <x:v>category</x:v>
      </x:c>
      <x:c r="I1" s="19" t="str">
        <x:v>topic</x:v>
      </x:c>
      <x:c r="J1" s="19" t="str">
        <x:v>year</x:v>
      </x:c>
      <x:c r="K1" s="19" t="str">
        <x:v>description</x:v>
      </x:c>
      <x:c r="L1" s="19" t="str">
        <x:v>fileType</x:v>
      </x:c>
      <x:c r="M1" s="19" t="str">
        <x:v>fileUrl</x:v>
      </x:c>
      <x:c r="N1" s="19" t="str">
        <x:v>visibility</x:v>
      </x:c>
      <x:c r="O1" s="19" t="str">
        <x:v>status</x:v>
      </x:c>
      <x:c r="P1" s="19" t="str">
        <x:v>approvedBy</x:v>
      </x:c>
      <x:c r="Q1" s="19" t="str">
        <x:v>approvedAt</x:v>
      </x:c>
      <x:c r="R1" s="19" t="str">
        <x:v>createdAt</x:v>
      </x:c>
      <x:c r="S1" s="19" t="str">
        <x:v>updatedAt</x:v>
      </x:c>
    </x:row>
    <x:row r="2">
      <x:c r="A2" s="22" t="str">
        <x:v>SH-DEMO-001</x:v>
      </x:c>
      <x:c r="B2" s="22" t="str">
        <x:v>F-DEMO-001</x:v>
      </x:c>
      <x:c r="C2" s="22" t="str"/>
      <x:c r="D2" s="22" t="str">
        <x:v>S-DEMO-001</x:v>
      </x:c>
      <x:c r="E2" s="22" t="str">
        <x:v>Anonymous</x:v>
      </x:c>
      <x:c r="F2" s="22" t="str">
        <x:v>Mahasiswa Sistem Informasi Angkatan 2022</x:v>
      </x:c>
      <x:c r="G2" s="22" t="str">
        <x:v>Contoh Proposal Sistem Informasi Berbasis Web</x:v>
      </x:c>
      <x:c r="H2" s="24" t="str">
        <x:v>Proposal</x:v>
      </x:c>
      <x:c r="I2" s="22" t="str">
        <x:v>Sistem Informasi</x:v>
      </x:c>
      <x:c r="J2" s="22" t="str">
        <x:v>2026</x:v>
      </x:c>
      <x:c r="K2" s="22" t="str">
        <x:v>Contoh struktur proposal yang sudah disetujui.</x:v>
      </x:c>
      <x:c r="L2" s="22" t="str">
        <x:v>DOCX</x:v>
      </x:c>
      <x:c r="M2" s="22" t="str">
        <x:v>#</x:v>
      </x:c>
      <x:c r="N2" s="22" t="str">
        <x:v>LoginOnly</x:v>
      </x:c>
      <x:c r="O2" s="24" t="str">
        <x:v>Shared</x:v>
      </x:c>
      <x:c r="P2" s="22" t="str">
        <x:v>U-DEMO-DOSEN</x:v>
      </x:c>
      <x:c r="Q2" s="24" t="n">
        <x:v>46206.3767984375</x:v>
      </x:c>
      <x:c r="R2" s="24" t="n">
        <x:v>46206.3767984375</x:v>
      </x:c>
      <x:c r="S2" s="24" t="n">
        <x:v>46206.3767984375</x:v>
      </x:c>
    </x:row>
  </x:sheetData>
  <x:conditionalFormatting sqref="O2:O200">
    <x:cfRule type="expression" dxfId="3" priority="1">
      <x:formula>O2="Shared"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cf4283b7f841c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19" t="str">
        <x:v>eventId</x:v>
      </x:c>
      <x:c r="B1" s="19" t="str">
        <x:v>eventType</x:v>
      </x:c>
      <x:c r="C1" s="19" t="str">
        <x:v>studentId</x:v>
      </x:c>
      <x:c r="D1" s="19" t="str">
        <x:v>title</x:v>
      </x:c>
      <x:c r="E1" s="19" t="str">
        <x:v>startTime</x:v>
      </x:c>
      <x:c r="F1" s="19" t="str">
        <x:v>endTime</x:v>
      </x:c>
      <x:c r="G1" s="19" t="str">
        <x:v>mode</x:v>
      </x:c>
      <x:c r="H1" s="19" t="str">
        <x:v>location</x:v>
      </x:c>
      <x:c r="I1" s="19" t="str">
        <x:v>status</x:v>
      </x:c>
      <x:c r="J1" s="19" t="str">
        <x:v>updatedAt</x:v>
      </x:c>
    </x:row>
    <x:row r="2">
      <x:c r="E2" s="26"/>
      <x:c r="F2" s="26"/>
      <x:c r="H2" s="26"/>
      <x:c r="I2" s="26"/>
      <x:c r="J2" s="26"/>
    </x:row>
  </x:sheetData>
  <x:pageMargins left="0.7" right="0.7" top="0.75" bottom="0.75" header="0.3" footer="0.3"/>
  <x:tableParts count="1">
    <x:tablePart xmlns:r="http://schemas.openxmlformats.org/officeDocument/2006/relationships" r:id="R6ec6488ab2804969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</x:cols>
  <x:sheetData>
    <x:row r="1">
      <x:c r="A1" s="19" t="str">
        <x:v>logId</x:v>
      </x:c>
      <x:c r="B1" s="19" t="str">
        <x:v>actorId</x:v>
      </x:c>
      <x:c r="C1" s="19" t="str">
        <x:v>role</x:v>
      </x:c>
      <x:c r="D1" s="19" t="str">
        <x:v>action</x:v>
      </x:c>
      <x:c r="E1" s="19" t="str">
        <x:v>targetType</x:v>
      </x:c>
      <x:c r="F1" s="19" t="str">
        <x:v>targetId</x:v>
      </x:c>
      <x:c r="G1" s="19" t="str">
        <x:v>description</x:v>
      </x:c>
      <x:c r="H1" s="19" t="str">
        <x:v>createdAt</x:v>
      </x:c>
    </x:row>
    <x:row r="2">
      <x:c r="H2" s="26"/>
    </x:row>
  </x:sheetData>
  <x:pageMargins left="0.7" right="0.7" top="0.75" bottom="0.75" header="0.3" footer="0.3"/>
  <x:tableParts count="1">
    <x:tablePart xmlns:r="http://schemas.openxmlformats.org/officeDocument/2006/relationships" r:id="Re046f6abe58744c6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24" hidden="0" customWidth="1"/>
    <x:col min="14" max="14" width="24" hidden="0" customWidth="1"/>
    <x:col min="15" max="15" width="16" hidden="0" customWidth="1"/>
  </x:cols>
  <x:sheetData>
    <x:row r="1">
      <x:c r="A1" s="19" t="str">
        <x:v>importStatus</x:v>
      </x:c>
      <x:c r="B1" s="19" t="str">
        <x:v>name</x:v>
      </x:c>
      <x:c r="C1" s="19" t="str">
        <x:v>nim</x:v>
      </x:c>
      <x:c r="D1" s="19" t="str">
        <x:v>email</x:v>
      </x:c>
      <x:c r="E1" s="19" t="str">
        <x:v>whatsapp</x:v>
      </x:c>
      <x:c r="F1" s="19" t="str">
        <x:v>program</x:v>
      </x:c>
      <x:c r="G1" s="19" t="str">
        <x:v>cohort</x:v>
      </x:c>
      <x:c r="H1" s="19" t="str">
        <x:v>currentStage</x:v>
      </x:c>
      <x:c r="I1" s="19" t="str">
        <x:v>studentStatus</x:v>
      </x:c>
      <x:c r="J1" s="19" t="str">
        <x:v>reviewStatus</x:v>
      </x:c>
      <x:c r="K1" s="19" t="str">
        <x:v>thesisTitle</x:v>
      </x:c>
      <x:c r="L1" s="19" t="str">
        <x:v>researchTopic</x:v>
      </x:c>
      <x:c r="M1" s="19" t="str">
        <x:v>existingFolderUrl</x:v>
      </x:c>
      <x:c r="N1" s="19" t="str">
        <x:v>existingFolderId</x:v>
      </x:c>
      <x:c r="O1" s="19" t="str">
        <x:v>notes</x:v>
      </x:c>
    </x:row>
    <x:row r="2">
      <x:c r="A2" s="24" t="str">
        <x:v>Siap Import</x:v>
      </x:c>
      <x:c r="B2" s="22" t="str">
        <x:v>Nama Mahasiswa Lama</x:v>
      </x:c>
      <x:c r="C2" s="22" t="str">
        <x:v>202201099</x:v>
      </x:c>
      <x:c r="D2" s="22" t="str">
        <x:v>email@example.com</x:v>
      </x:c>
      <x:c r="E2" s="24" t="str">
        <x:v>0812xxxx</x:v>
      </x:c>
      <x:c r="F2" s="22" t="str">
        <x:v>S1 Sistem Informasi</x:v>
      </x:c>
      <x:c r="G2" s="22" t="str">
        <x:v>2022</x:v>
      </x:c>
      <x:c r="H2" s="22" t="str">
        <x:v>Seminar Hasil</x:v>
      </x:c>
      <x:c r="I2" s="24" t="str">
        <x:v>Aktif Bimbingan</x:v>
      </x:c>
      <x:c r="J2" s="24" t="str">
        <x:v>Revisi Minor</x:v>
      </x:c>
      <x:c r="K2" s="22" t="str">
        <x:v>Judul berjalan</x:v>
      </x:c>
      <x:c r="L2" s="22" t="str">
        <x:v>Topik penelitian</x:v>
      </x:c>
      <x:c r="M2" s="22" t="str">
        <x:v>https://drive.google.com/drive/folders/...</x:v>
      </x:c>
      <x:c r="N2" s="22" t="str"/>
      <x:c r="O2" s="22" t="str">
        <x:v>Contoh baris import mahasiswa lama.</x:v>
      </x:c>
    </x:row>
  </x:sheetData>
  <x:pageMargins left="0.7" right="0.7" top="0.75" bottom="0.75" header="0.3" footer="0.3"/>
  <x:tableParts count="1">
    <x:tablePart xmlns:r="http://schemas.openxmlformats.org/officeDocument/2006/relationships" r:id="R184973998e8e4fd2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</x:cols>
  <x:sheetData>
    <x:row r="1">
      <x:c r="A1" s="19" t="str">
        <x:v>Laporan</x:v>
      </x:c>
      <x:c r="B1" s="19" t="str">
        <x:v>Formula/Ringkasan</x:v>
      </x:c>
    </x:row>
    <x:row r="2">
      <x:c r="A2" s="22" t="str">
        <x:v>Jumlah mahasiswa aktif</x:v>
      </x:c>
      <x:c r="B2" s="22" t="n">
        <x:f>COUNTIF(Students!L:L,"*Aktif*")</x:f>
        <x:v>0</x:v>
      </x:c>
    </x:row>
    <x:row r="3">
      <x:c r="A3" s="22" t="str">
        <x:v>Jumlah mahasiswa lulus</x:v>
      </x:c>
      <x:c r="B3" s="22" t="n">
        <x:f>COUNTIF(Students!L:L,"*Lulus*")</x:f>
        <x:v>0</x:v>
      </x:c>
    </x:row>
    <x:row r="4">
      <x:c r="A4" s="22" t="str">
        <x:v>Review menunggu</x:v>
      </x:c>
      <x:c r="B4" s="22" t="n">
        <x:f>COUNTIF(Submissions!I:I,"*Menunggu*")</x:f>
        <x:v>0</x:v>
      </x:c>
    </x:row>
    <x:row r="5">
      <x:c r="A5" s="22" t="str">
        <x:v>Ruang sharing aktif</x:v>
      </x:c>
      <x:c r="B5" s="22" t="n">
        <x:f>COUNTIF(SharedReferences!O:O,"Shared")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f2a62ae1dac491a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</x:cols>
  <x:sheetData>
    <x:row r="1">
      <x:c r="A1" s="19" t="str">
        <x:v>Category</x:v>
      </x:c>
      <x:c r="B1" s="19" t="str">
        <x:v>Value</x:v>
      </x:c>
    </x:row>
    <x:row r="2">
      <x:c r="A2" s="24" t="str">
        <x:v>Role</x:v>
      </x:c>
      <x:c r="B2" s="22" t="str">
        <x:v>mahasiswa</x:v>
      </x:c>
    </x:row>
    <x:row r="3">
      <x:c r="A3" s="24" t="str">
        <x:v>Role</x:v>
      </x:c>
      <x:c r="B3" s="22" t="str">
        <x:v>dosen</x:v>
      </x:c>
    </x:row>
    <x:row r="4">
      <x:c r="A4" s="24" t="str">
        <x:v>Stage</x:v>
      </x:c>
      <x:c r="B4" s="22" t="str">
        <x:v>Proposal</x:v>
      </x:c>
    </x:row>
    <x:row r="5">
      <x:c r="A5" s="24" t="str">
        <x:v>Stage</x:v>
      </x:c>
      <x:c r="B5" s="22" t="str">
        <x:v>Seminar Hasil</x:v>
      </x:c>
    </x:row>
    <x:row r="6">
      <x:c r="A6" s="24" t="str">
        <x:v>Stage</x:v>
      </x:c>
      <x:c r="B6" s="22" t="str">
        <x:v>Skripsi</x:v>
      </x:c>
    </x:row>
    <x:row r="7">
      <x:c r="A7" s="24" t="str">
        <x:v>Stage</x:v>
      </x:c>
      <x:c r="B7" s="22" t="str">
        <x:v>Artikel Ilmiah</x:v>
      </x:c>
    </x:row>
    <x:row r="8">
      <x:c r="A8" s="24" t="str">
        <x:v>Stage</x:v>
      </x:c>
      <x:c r="B8" s="22" t="str">
        <x:v>Finalisasi</x:v>
      </x:c>
    </x:row>
    <x:row r="9">
      <x:c r="A9" s="24" t="str">
        <x:v>Stage</x:v>
      </x:c>
      <x:c r="B9" s="22" t="str">
        <x:v>Lulus</x:v>
      </x:c>
    </x:row>
    <x:row r="10">
      <x:c r="A10" s="24" t="str">
        <x:v>StudentStatus</x:v>
      </x:c>
      <x:c r="B10" s="22" t="str">
        <x:v>Menunggu Verifikasi</x:v>
      </x:c>
    </x:row>
    <x:row r="11">
      <x:c r="A11" s="24" t="str">
        <x:v>StudentStatus</x:v>
      </x:c>
      <x:c r="B11" s="22" t="str">
        <x:v>Aktif Bimbingan</x:v>
      </x:c>
    </x:row>
    <x:row r="12">
      <x:c r="A12" s="24" t="str">
        <x:v>StudentStatus</x:v>
      </x:c>
      <x:c r="B12" s="22" t="str">
        <x:v>Siap Sidang</x:v>
      </x:c>
    </x:row>
    <x:row r="13">
      <x:c r="A13" s="24" t="str">
        <x:v>StudentStatus</x:v>
      </x:c>
      <x:c r="B13" s="22" t="str">
        <x:v>Lulus</x:v>
      </x:c>
    </x:row>
    <x:row r="14">
      <x:c r="A14" s="24" t="str">
        <x:v>StudentStatus</x:v>
      </x:c>
      <x:c r="B14" s="22" t="str">
        <x:v>Tidak Aktif</x:v>
      </x:c>
    </x:row>
    <x:row r="15">
      <x:c r="A15" s="24" t="str">
        <x:v>ReviewStatus</x:v>
      </x:c>
      <x:c r="B15" s="22" t="str">
        <x:v>Belum Upload</x:v>
      </x:c>
    </x:row>
    <x:row r="16">
      <x:c r="A16" s="24" t="str">
        <x:v>ReviewStatus</x:v>
      </x:c>
      <x:c r="B16" s="22" t="str">
        <x:v>Menunggu Review</x:v>
      </x:c>
    </x:row>
    <x:row r="17">
      <x:c r="A17" s="24" t="str">
        <x:v>ReviewStatus</x:v>
      </x:c>
      <x:c r="B17" s="22" t="str">
        <x:v>Revisi Minor</x:v>
      </x:c>
    </x:row>
    <x:row r="18">
      <x:c r="A18" s="24" t="str">
        <x:v>ReviewStatus</x:v>
      </x:c>
      <x:c r="B18" s="22" t="str">
        <x:v>Revisi Mayor</x:v>
      </x:c>
    </x:row>
    <x:row r="19">
      <x:c r="A19" s="24" t="str">
        <x:v>ReviewStatus</x:v>
      </x:c>
      <x:c r="B19" s="22" t="str">
        <x:v>Disetujui</x:v>
      </x:c>
    </x:row>
    <x:row r="20">
      <x:c r="A20" s="24" t="str">
        <x:v>ReviewStatus</x:v>
      </x:c>
      <x:c r="B20" s="22" t="str">
        <x:v>Final</x:v>
      </x:c>
    </x:row>
    <x:row r="21">
      <x:c r="A21" s="24" t="str">
        <x:v>FolderType</x:v>
      </x:c>
      <x:c r="B21" s="22" t="str">
        <x:v>Proposal</x:v>
      </x:c>
    </x:row>
    <x:row r="22">
      <x:c r="A22" s="24" t="str">
        <x:v>FolderType</x:v>
      </x:c>
      <x:c r="B22" s="22" t="str">
        <x:v>Seminar Hasil</x:v>
      </x:c>
    </x:row>
    <x:row r="23">
      <x:c r="A23" s="24" t="str">
        <x:v>FolderType</x:v>
      </x:c>
      <x:c r="B23" s="22" t="str">
        <x:v>Skripsi</x:v>
      </x:c>
    </x:row>
    <x:row r="24">
      <x:c r="A24" s="24" t="str">
        <x:v>FolderType</x:v>
      </x:c>
      <x:c r="B24" s="22" t="str">
        <x:v>Artikel Ilmiah</x:v>
      </x:c>
    </x:row>
    <x:row r="25">
      <x:c r="A25" s="24" t="str">
        <x:v>FolderType</x:v>
      </x:c>
      <x:c r="B25" s="22" t="str">
        <x:v>Data Pendukung</x:v>
      </x:c>
    </x:row>
    <x:row r="26">
      <x:c r="A26" s="24" t="str">
        <x:v>FolderType</x:v>
      </x:c>
      <x:c r="B26" s="22" t="str">
        <x:v>Data Lainnya</x:v>
      </x:c>
    </x:row>
    <x:row r="27">
      <x:c r="A27" s="24" t="str">
        <x:v>SharingStatus</x:v>
      </x:c>
      <x:c r="B27" s="22" t="str">
        <x:v>NotRequested</x:v>
      </x:c>
    </x:row>
    <x:row r="28">
      <x:c r="A28" s="24" t="str">
        <x:v>SharingStatus</x:v>
      </x:c>
      <x:c r="B28" s="22" t="str">
        <x:v>Pending</x:v>
      </x:c>
    </x:row>
    <x:row r="29">
      <x:c r="A29" s="24" t="str">
        <x:v>SharingStatus</x:v>
      </x:c>
      <x:c r="B29" s="22" t="str">
        <x:v>Approved</x:v>
      </x:c>
    </x:row>
    <x:row r="30">
      <x:c r="A30" s="24" t="str">
        <x:v>SharingStatus</x:v>
      </x:c>
      <x:c r="B30" s="22" t="str">
        <x:v>Rejected</x:v>
      </x:c>
    </x:row>
    <x:row r="31">
      <x:c r="A31" s="24" t="str">
        <x:v>SharingStatus</x:v>
      </x:c>
      <x:c r="B31" s="22" t="str">
        <x:v>Archived</x:v>
      </x:c>
    </x:row>
    <x:row r="32">
      <x:c r="A32" s="24" t="str">
        <x:v>Visibility</x:v>
      </x:c>
      <x:c r="B32" s="22" t="str">
        <x:v>Private</x:v>
      </x:c>
    </x:row>
    <x:row r="33">
      <x:c r="A33" s="24" t="str">
        <x:v>Visibility</x:v>
      </x:c>
      <x:c r="B33" s="22" t="str">
        <x:v>Shared</x:v>
      </x:c>
    </x:row>
    <x:row r="34">
      <x:c r="A34" s="24" t="str">
        <x:v>Visibility</x:v>
      </x:c>
      <x:c r="B34" s="22" t="str">
        <x:v>LoginOnly</x:v>
      </x:c>
    </x:row>
    <x:row r="35">
      <x:c r="A35" s="24" t="str">
        <x:v>Visibility</x:v>
      </x:c>
      <x:c r="B35" s="22" t="str">
        <x:v>Public</x:v>
      </x:c>
    </x:row>
  </x:sheetData>
  <x:pageMargins left="0.7" right="0.7" top="0.75" bottom="0.75" header="0.3" footer="0.3"/>
</x:worksheet>
</file>